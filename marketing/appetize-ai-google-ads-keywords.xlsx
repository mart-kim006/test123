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Keywords" sheetId="2" state="visible" r:id="rId2"/>
    <sheet name="Campaign Plan" sheetId="3" state="visible" r:id="rId3"/>
    <sheet name="Scoring" sheetId="4" state="visible" r:id="rId4"/>
    <sheet name="Negatives" sheetId="5" state="visible" r:id="rId5"/>
    <sheet name="Ad Copy" sheetId="6" state="visible" r:id="rId6"/>
    <sheet name="Audience Segments" sheetId="7" state="visible" r:id="rId7"/>
  </sheets>
  <definedNames>
    <definedName name="_xlnm._FilterDatabase" localSheetId="1" hidden="1">'Keywords'!$A$1:$T$97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F3A5F"/>
      <sz val="11"/>
    </font>
    <font>
      <name val="Arial"/>
      <sz val="10"/>
    </font>
    <font>
      <name val="Arial"/>
      <b val="1"/>
      <sz val="10"/>
    </font>
    <font>
      <name val="Arial"/>
      <b val="1"/>
      <color rgb="001F3A5F"/>
      <sz val="16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2" fillId="0" borderId="1" pivotButton="0" quotePrefix="0" xfId="0"/>
    <xf numFmtId="3" fontId="6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8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9" fontId="3" fillId="0" borderId="0" pivotButton="0" quotePrefix="0" xfId="0"/>
    <xf numFmtId="165" fontId="6" fillId="3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7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Keyword strategy</author>
  </authors>
  <commentList>
    <comment ref="G1" authorId="0" shapeId="0">
      <text>
        <t>Paste Google Keyword Planner avg monthly searches here; Volume Used, Score and Tier update automatically.</t>
      </text>
    </comment>
    <comment ref="O1" authorId="0" shapeId="0">
      <text>
        <t>Estimated B2B dev-tools CPC ranges; validate with Planner top-of-page bid ranges.</t>
      </text>
    </comment>
    <comment ref="F2" authorId="0" shapeId="0">
      <text>
        <t>Estimated US monthly searches (not Keyword Planner). Scaled from public Ahrefs/Semrush benchmarks. Replace via the Planner Volume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Appetize AI – Google Ads Keyword Strategy</t>
        </is>
      </c>
      <c r="B1" s="2" t="n"/>
    </row>
    <row r="2">
      <c r="A2" s="3" t="inlineStr">
        <is>
          <t>Prepared</t>
        </is>
      </c>
      <c r="B2" s="2" t="inlineStr">
        <is>
          <t>2026-09-23 · for Google Ads implementation</t>
        </is>
      </c>
    </row>
    <row r="3">
      <c r="A3" s="3" t="inlineStr">
        <is>
          <t>Product</t>
        </is>
      </c>
      <c r="B3" s="2" t="inlineStr">
        <is>
          <t>Appetize AI – 'The mobile layer for your AI agents'. Cloud iOS/Android sandboxes that agents drive via CLI, MCP and CI (Claude Code, Cursor, Codex, Devin, Copilot).</t>
        </is>
      </c>
    </row>
    <row r="4">
      <c r="A4" s="3" t="inlineStr">
        <is>
          <t>Landing page</t>
        </is>
      </c>
      <c r="B4" s="2" t="inlineStr">
        <is>
          <t>https://appetize.io/ai</t>
        </is>
      </c>
    </row>
    <row r="5">
      <c r="A5" s="4" t="inlineStr"/>
      <c r="B5" s="2" t="n"/>
    </row>
    <row r="6">
      <c r="A6" s="4" t="inlineStr">
        <is>
          <t>GOAL</t>
        </is>
      </c>
      <c r="B6" s="2" t="n"/>
    </row>
    <row r="7">
      <c r="A7" s="3" t="inlineStr">
        <is>
          <t>Objective</t>
        </is>
      </c>
      <c r="B7" s="2" t="inlineStr">
        <is>
          <t>Awareness + qualified traffic from the people who implement agentic / CLI workflows for mobile: mobile engineers using coding agents, platform/DevEx engineers, QA automation, AI-agent platform builders, and eng managers/heads of mobile.</t>
        </is>
      </c>
    </row>
    <row r="8">
      <c r="A8" s="3" t="inlineStr">
        <is>
          <t>Core insight</t>
        </is>
      </c>
      <c r="B8" s="2" t="inlineStr">
        <is>
          <t>Demand for 'agents + mobile' is new and small (mostly &lt;300/mo per term) but extremely high intent. Winning = own the long tail early (MCP, Claude Code/Cursor + iOS/Android, cloud simulator for CI), while cheaply harvesting broader simulator/testing terms with tight negatives.</t>
        </is>
      </c>
    </row>
    <row r="9">
      <c r="A9" s="4" t="inlineStr"/>
      <c r="B9" s="2" t="n"/>
    </row>
    <row r="10">
      <c r="A10" s="4" t="inlineStr">
        <is>
          <t>TARGET PERSONAS</t>
        </is>
      </c>
      <c r="B10" s="2" t="n"/>
    </row>
    <row r="11">
      <c r="A11" s="3" t="inlineStr">
        <is>
          <t>Mobile Eng (iOS/Android/RN)</t>
        </is>
      </c>
      <c r="B11" s="2" t="inlineStr">
        <is>
          <t>Already using Claude Code/Cursor; hitting the 'phone wall' – agent can't see or run the app. Searches: '&lt;agent&gt; ios', 'ios simulator mcp', 'xcode mcp'.</t>
        </is>
      </c>
    </row>
    <row r="12">
      <c r="A12" s="3" t="inlineStr">
        <is>
          <t>Platform / DevEx Eng</t>
        </is>
      </c>
      <c r="B12" s="2" t="inlineStr">
        <is>
          <t>Runs agents in Linux containers &amp; CI; needs simulators via API/CLI. Searches: 'ios simulator linux/docker', 'github actions android emulator', 'cloud ios simulator'.</t>
        </is>
      </c>
    </row>
    <row r="13">
      <c r="A13" s="3" t="inlineStr">
        <is>
          <t>QA Automation / QA Lead</t>
        </is>
      </c>
      <c r="B13" s="2" t="inlineStr">
        <is>
          <t>Evaluating AI testing. Searches: 'ai mobile testing', 'appium mcp', 'agentic qa', incumbent alternatives.</t>
        </is>
      </c>
    </row>
    <row r="14">
      <c r="A14" s="3" t="inlineStr">
        <is>
          <t>AI / Agent Platform Eng</t>
        </is>
      </c>
      <c r="B14" s="2" t="inlineStr">
        <is>
          <t>Building internal agents (Devin-style). Searches: 'ai agent sandbox', 'ai agent mobile app testing'.</t>
        </is>
      </c>
    </row>
    <row r="15">
      <c r="A15" s="3" t="inlineStr">
        <is>
          <t>Eng Manager / Head of Mobile</t>
        </is>
      </c>
      <c r="B15" s="2" t="inlineStr">
        <is>
          <t>Budget owner. Searches: 'ai agents for mobile development', 'test ai generated code', PR preview.</t>
        </is>
      </c>
    </row>
    <row r="16">
      <c r="A16" s="4" t="inlineStr"/>
      <c r="B16" s="2" t="n"/>
    </row>
    <row r="17">
      <c r="A17" s="4" t="inlineStr">
        <is>
          <t>COMPETITOR TAKEAWAYS</t>
        </is>
      </c>
      <c r="B17" s="2" t="n"/>
    </row>
    <row r="18">
      <c r="A18" s="3" t="inlineStr">
        <is>
          <t>Limrun (limrun.com, YC)</t>
        </is>
      </c>
      <c r="B18" s="2" t="inlineStr">
        <is>
          <t>'Remote Xcode, iOS &amp; Android simulators for teams and agents'. Hosted MCP (mcp.limrun.com), `lim` CLI via npm/brew, agent skills, 60fps recording, PR preview links. Closest head-to-head.</t>
        </is>
      </c>
    </row>
    <row r="19">
      <c r="A19" s="3" t="inlineStr">
        <is>
          <t>Expo EAS Simulator</t>
        </is>
      </c>
      <c r="B19" s="2" t="inlineStr">
        <is>
          <t>'Simulators built for agents' / 'Close the loop on agent-written code'. Early access waitlist, `eas simulator --platform ios`, works with agent-device. React-Native/Expo-centric – Appetize wins on native + any framework, available now.</t>
        </is>
      </c>
    </row>
    <row r="20">
      <c r="A20" s="3" t="inlineStr">
        <is>
          <t>OSS MCP tools</t>
        </is>
      </c>
      <c r="B20" s="2" t="inlineStr">
        <is>
          <t>mobile-mcp, ios-simulator-mcp, XcodeBuildMCP (Sentry), agent-device (Callstack). They drive demand but run locally on a Mac – Appetize angle: 'same workflow, in the cloud, from any Linux agent/CI, in parallel'.</t>
        </is>
      </c>
    </row>
    <row r="21">
      <c r="A21" s="3" t="inlineStr">
        <is>
          <t>Incumbent device clouds</t>
        </is>
      </c>
      <c r="B21" s="2" t="inlineStr">
        <is>
          <t>BrowserStack, Sauce Labs, LambdaTest/TestMu, Firebase Test Lab, AWS Device Farm – heavy, expensive, QA-centric. Appetize angle: instant, browser-streamed, agent-native.</t>
        </is>
      </c>
    </row>
    <row r="22">
      <c r="A22" s="4" t="inlineStr"/>
      <c r="B22" s="2" t="n"/>
    </row>
    <row r="23">
      <c r="A23" s="4" t="inlineStr">
        <is>
          <t>RECOMMENDED STRUCTURE</t>
        </is>
      </c>
      <c r="B23" s="2" t="n"/>
    </row>
    <row r="24">
      <c r="A24" s="3" t="inlineStr">
        <is>
          <t>Campaigns</t>
        </is>
      </c>
      <c r="B24" s="2" t="inlineStr">
        <is>
          <t>See 'Campaign Plan' tab. Search campaigns 01–06 plus a Demand Gen campaign using Custom Segments (see 'Audience Segments') because search volume alone is too thin for awareness goals.</t>
        </is>
      </c>
    </row>
    <row r="25">
      <c r="A25" s="3" t="inlineStr">
        <is>
          <t>Match types</t>
        </is>
      </c>
      <c r="B25" s="2" t="inlineStr">
        <is>
          <t>Launch Phrase + Exact on Tier 1; Phrase only on Tier 2; Tier 3 Exact only with low bids. Add Broad only on campaign 02 once conversions &gt;30/mo and Smart Bidding is on.</t>
        </is>
      </c>
    </row>
    <row r="26">
      <c r="A26" s="3" t="inlineStr">
        <is>
          <t>Bidding</t>
        </is>
      </c>
      <c r="B26" s="2" t="inlineStr">
        <is>
          <t>Start Maximize Clicks with CPC cap (use Est. CPC High) for 2–4 weeks to gather data; move to Maximize Conversions / tCPA once demo/signup conversions are tracked.</t>
        </is>
      </c>
    </row>
    <row r="27">
      <c r="A27" s="3" t="inlineStr">
        <is>
          <t>Geo / language</t>
        </is>
      </c>
      <c r="B27" s="2" t="inlineStr">
        <is>
          <t>Start US, CA, UK, DE, NL, Nordics, AU, IL – English. Exclude low-B2B-value geos initially; high share of 'online emulator' traffic is consumer/gaming.</t>
        </is>
      </c>
    </row>
    <row r="28">
      <c r="A28" s="3" t="inlineStr">
        <is>
          <t>Ad text</t>
        </is>
      </c>
      <c r="B28" s="2" t="inlineStr">
        <is>
          <t>Never use competitor trademarks in ad copy (Limrun, Expo, BrowserStack…). Keyword bidding on names is fine. Agent brand names (Claude Code, Cursor) in copy may be restricted – test and review disapprovals.</t>
        </is>
      </c>
    </row>
    <row r="29">
      <c r="A29" s="4" t="inlineStr"/>
      <c r="B29" s="2" t="n"/>
    </row>
    <row r="30">
      <c r="A30" s="4" t="inlineStr">
        <is>
          <t>⚠ SEARCH VOLUME – READ FIRST</t>
        </is>
      </c>
      <c r="B30" s="2" t="n"/>
    </row>
    <row r="31">
      <c r="A31" s="3" t="inlineStr">
        <is>
          <t>Source of volumes</t>
        </is>
      </c>
      <c r="B31" s="2" t="inlineStr">
        <is>
          <t>Volumes are ESTIMATED US monthly searches, built from public Ahrefs/Semrush benchmarks for adjacent head terms (e.g. 'android emulator' ≈49K/mo global per Ahrefs) and scaled for specificity. Live Google Keyword Planner data was NOT available to the author.</t>
        </is>
      </c>
    </row>
    <row r="32">
      <c r="A32" s="3" t="inlineStr">
        <is>
          <t>Action for specialist</t>
        </is>
      </c>
      <c r="B32" s="2" t="inlineStr">
        <is>
          <t>Paste Keyword Planner 'Avg. monthly searches' into the yellow 'Planner Volume' column on the Keywords tab. Priority scores, tiers and campaign rollups recalculate automatically and prefer Planner data when present.</t>
        </is>
      </c>
    </row>
    <row r="33">
      <c r="A33" s="3" t="inlineStr">
        <is>
          <t>Confidence</t>
        </is>
      </c>
      <c r="B33" s="2" t="inlineStr">
        <is>
          <t>High/Medium/Low per row. Many agent/MCP terms are &lt;50/mo or show as '0–10' in Planner – keep them anyway; they are the highest-intent terms and 'low search volume' status often lifts as the category grows.</t>
        </is>
      </c>
    </row>
    <row r="34">
      <c r="A34" s="4" t="inlineStr"/>
      <c r="B34" s="2" t="n"/>
    </row>
    <row r="35">
      <c r="A35" s="4" t="inlineStr">
        <is>
          <t>TABS</t>
        </is>
      </c>
      <c r="B35" s="2" t="n"/>
    </row>
    <row r="36">
      <c r="A36" s="3" t="inlineStr">
        <is>
          <t>Keywords</t>
        </is>
      </c>
      <c r="B36" s="2" t="inlineStr">
        <is>
          <t>Master keyword list with volume, intent, persona, relevance, CPC, priority score/tier. Yellow = cells to fill in.</t>
        </is>
      </c>
    </row>
    <row r="37">
      <c r="A37" s="3" t="inlineStr">
        <is>
          <t>Campaign Plan</t>
        </is>
      </c>
      <c r="B37" s="2" t="inlineStr">
        <is>
          <t>Campaign → ad group rollups (keyword count, volume, suggested budget split).</t>
        </is>
      </c>
    </row>
    <row r="38">
      <c r="A38" s="3" t="inlineStr">
        <is>
          <t>Negatives</t>
        </is>
      </c>
      <c r="B38" s="2" t="inlineStr">
        <is>
          <t>Shared negative keyword lists (gaming, consumer, jobs, MCP false positives).</t>
        </is>
      </c>
    </row>
    <row r="39">
      <c r="A39" s="3" t="inlineStr">
        <is>
          <t>Ad Copy</t>
        </is>
      </c>
      <c r="B39" s="2" t="inlineStr">
        <is>
          <t>RSA headline/description starters per campaign with live character counts.</t>
        </is>
      </c>
    </row>
    <row r="40">
      <c r="A40" s="3" t="inlineStr">
        <is>
          <t>Audience Segments</t>
        </is>
      </c>
      <c r="B40" s="2" t="inlineStr">
        <is>
          <t>Custom segment seeds for Demand Gen / YouTube awareness.</t>
        </is>
      </c>
    </row>
    <row r="41">
      <c r="A41" s="3" t="inlineStr">
        <is>
          <t>Scoring</t>
        </is>
      </c>
      <c r="B41" s="2" t="inlineStr">
        <is>
          <t>Weights behind the Priority Score – editable.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38" customWidth="1" min="4" max="4"/>
    <col width="10" customWidth="1" min="5" max="5"/>
    <col width="13" customWidth="1" min="6" max="6"/>
    <col width="13" customWidth="1" min="7" max="7"/>
    <col width="11" customWidth="1" min="8" max="8"/>
    <col width="11" customWidth="1" min="9" max="9"/>
    <col width="15" customWidth="1" min="10" max="10"/>
    <col width="8" customWidth="1" min="11" max="11"/>
    <col width="26" customWidth="1" min="12" max="12"/>
    <col width="10" customWidth="1" min="13" max="13"/>
    <col width="11" customWidth="1" min="14" max="14"/>
    <col width="10" customWidth="1" min="15" max="15"/>
    <col width="10" customWidth="1" min="16" max="16"/>
    <col width="9" customWidth="1" min="17" max="17"/>
    <col width="8" customWidth="1" min="18" max="18"/>
    <col width="24" customWidth="1" min="19" max="19"/>
    <col width="55" customWidth="1" min="20" max="20"/>
  </cols>
  <sheetData>
    <row r="1" ht="32" customHeight="1">
      <c r="A1" s="5" t="inlineStr">
        <is>
          <t>#</t>
        </is>
      </c>
      <c r="B1" s="5" t="inlineStr">
        <is>
          <t>Campaign</t>
        </is>
      </c>
      <c r="C1" s="5" t="inlineStr">
        <is>
          <t>Ad Group</t>
        </is>
      </c>
      <c r="D1" s="5" t="inlineStr">
        <is>
          <t>Keyword</t>
        </is>
      </c>
      <c r="E1" s="5" t="inlineStr">
        <is>
          <t>Match Type</t>
        </is>
      </c>
      <c r="F1" s="5" t="inlineStr">
        <is>
          <t>Est. US Monthly Volume</t>
        </is>
      </c>
      <c r="G1" s="5" t="inlineStr">
        <is>
          <t>Planner Volume (fill in)</t>
        </is>
      </c>
      <c r="H1" s="5" t="inlineStr">
        <is>
          <t>Volume Used</t>
        </is>
      </c>
      <c r="I1" s="5" t="inlineStr">
        <is>
          <t>Volume Confidence</t>
        </is>
      </c>
      <c r="J1" s="5" t="inlineStr">
        <is>
          <t>Search Intent</t>
        </is>
      </c>
      <c r="K1" s="5" t="inlineStr">
        <is>
          <t>Funnel</t>
        </is>
      </c>
      <c r="L1" s="5" t="inlineStr">
        <is>
          <t>Primary Persona</t>
        </is>
      </c>
      <c r="M1" s="5" t="inlineStr">
        <is>
          <t>Relevance (1-5)</t>
        </is>
      </c>
      <c r="N1" s="5" t="inlineStr">
        <is>
          <t>Competition</t>
        </is>
      </c>
      <c r="O1" s="5" t="inlineStr">
        <is>
          <t>Est. CPC Low ($)</t>
        </is>
      </c>
      <c r="P1" s="5" t="inlineStr">
        <is>
          <t>Est. CPC High ($)</t>
        </is>
      </c>
      <c r="Q1" s="5" t="inlineStr">
        <is>
          <t>Priority Score</t>
        </is>
      </c>
      <c r="R1" s="5" t="inlineStr">
        <is>
          <t>Tier</t>
        </is>
      </c>
      <c r="S1" s="5" t="inlineStr">
        <is>
          <t>Landing Page</t>
        </is>
      </c>
      <c r="T1" s="5" t="inlineStr">
        <is>
          <t>Notes</t>
        </is>
      </c>
    </row>
    <row r="2">
      <c r="A2" s="6" t="n">
        <v>1</v>
      </c>
      <c r="B2" s="6" t="inlineStr">
        <is>
          <t>01 Brand – Appetize AI</t>
        </is>
      </c>
      <c r="C2" s="6" t="inlineStr">
        <is>
          <t>Brand – AI</t>
        </is>
      </c>
      <c r="D2" s="6" t="inlineStr">
        <is>
          <t>appetize ai</t>
        </is>
      </c>
      <c r="E2" s="6" t="inlineStr">
        <is>
          <t>Phrase</t>
        </is>
      </c>
      <c r="F2" s="7" t="n">
        <v>20</v>
      </c>
      <c r="G2" s="8" t="n"/>
      <c r="H2" s="9">
        <f>IF(G2&lt;&gt;"",G2,F2)</f>
        <v/>
      </c>
      <c r="I2" s="6" t="inlineStr">
        <is>
          <t>Low</t>
        </is>
      </c>
      <c r="J2" s="6" t="inlineStr">
        <is>
          <t>Navigational</t>
        </is>
      </c>
      <c r="K2" s="6" t="inlineStr">
        <is>
          <t>BOFU</t>
        </is>
      </c>
      <c r="L2" s="6" t="inlineStr">
        <is>
          <t>All</t>
        </is>
      </c>
      <c r="M2" s="10" t="n">
        <v>5</v>
      </c>
      <c r="N2" s="6" t="inlineStr">
        <is>
          <t>Low</t>
        </is>
      </c>
      <c r="O2" s="11" t="n">
        <v>1</v>
      </c>
      <c r="P2" s="11" t="n">
        <v>3</v>
      </c>
      <c r="Q2" s="6">
        <f>ROUND(Scoring!$B$2*(M2/5)+Scoring!$B$3*MIN(1,LOG10(H2+1)/LOG10(Scoring!$B$4+1))+IF(OR(J2="Commercial",J2="Navigational"),Scoring!$B$5,IF(J2="Solution-aware",Scoring!$B$6,Scoring!$B$7)),0)</f>
        <v/>
      </c>
      <c r="R2" s="6">
        <f>IF(Q2&gt;=Scoring!$B$8,"Tier 1",IF(Q2&gt;=Scoring!$B$9,"Tier 2","Tier 3"))</f>
        <v/>
      </c>
      <c r="S2" s="6" t="inlineStr">
        <is>
          <t>https://appetize.io/ai</t>
        </is>
      </c>
      <c r="T2" s="6" t="inlineStr">
        <is>
          <t>New product; protect before competitors bid</t>
        </is>
      </c>
    </row>
    <row r="3">
      <c r="A3" s="6" t="n">
        <v>2</v>
      </c>
      <c r="B3" s="6" t="inlineStr">
        <is>
          <t>01 Brand – Appetize AI</t>
        </is>
      </c>
      <c r="C3" s="6" t="inlineStr">
        <is>
          <t>Brand – AI</t>
        </is>
      </c>
      <c r="D3" s="6" t="inlineStr">
        <is>
          <t>appetize mcp</t>
        </is>
      </c>
      <c r="E3" s="6" t="inlineStr">
        <is>
          <t>Phrase</t>
        </is>
      </c>
      <c r="F3" s="7" t="n">
        <v>10</v>
      </c>
      <c r="G3" s="8" t="n"/>
      <c r="H3" s="9">
        <f>IF(G3&lt;&gt;"",G3,F3)</f>
        <v/>
      </c>
      <c r="I3" s="6" t="inlineStr">
        <is>
          <t>Low</t>
        </is>
      </c>
      <c r="J3" s="6" t="inlineStr">
        <is>
          <t>Navigational</t>
        </is>
      </c>
      <c r="K3" s="6" t="inlineStr">
        <is>
          <t>BOFU</t>
        </is>
      </c>
      <c r="L3" s="6" t="inlineStr">
        <is>
          <t>Mobile Eng / AI Eng</t>
        </is>
      </c>
      <c r="M3" s="10" t="n">
        <v>5</v>
      </c>
      <c r="N3" s="6" t="inlineStr">
        <is>
          <t>Low</t>
        </is>
      </c>
      <c r="O3" s="11" t="n">
        <v>1</v>
      </c>
      <c r="P3" s="11" t="n">
        <v>3</v>
      </c>
      <c r="Q3" s="6">
        <f>ROUND(Scoring!$B$2*(M3/5)+Scoring!$B$3*MIN(1,LOG10(H3+1)/LOG10(Scoring!$B$4+1))+IF(OR(J3="Commercial",J3="Navigational"),Scoring!$B$5,IF(J3="Solution-aware",Scoring!$B$6,Scoring!$B$7)),0)</f>
        <v/>
      </c>
      <c r="R3" s="6">
        <f>IF(Q3&gt;=Scoring!$B$8,"Tier 1",IF(Q3&gt;=Scoring!$B$9,"Tier 2","Tier 3"))</f>
        <v/>
      </c>
      <c r="S3" s="6" t="inlineStr">
        <is>
          <t>https://appetize.io/ai</t>
        </is>
      </c>
      <c r="T3" s="6" t="inlineStr"/>
    </row>
    <row r="4">
      <c r="A4" s="6" t="n">
        <v>3</v>
      </c>
      <c r="B4" s="6" t="inlineStr">
        <is>
          <t>01 Brand – Appetize AI</t>
        </is>
      </c>
      <c r="C4" s="6" t="inlineStr">
        <is>
          <t>Brand – AI</t>
        </is>
      </c>
      <c r="D4" s="6" t="inlineStr">
        <is>
          <t>appetize cli</t>
        </is>
      </c>
      <c r="E4" s="6" t="inlineStr">
        <is>
          <t>Phrase</t>
        </is>
      </c>
      <c r="F4" s="7" t="n">
        <v>10</v>
      </c>
      <c r="G4" s="8" t="n"/>
      <c r="H4" s="9">
        <f>IF(G4&lt;&gt;"",G4,F4)</f>
        <v/>
      </c>
      <c r="I4" s="6" t="inlineStr">
        <is>
          <t>Low</t>
        </is>
      </c>
      <c r="J4" s="6" t="inlineStr">
        <is>
          <t>Navigational</t>
        </is>
      </c>
      <c r="K4" s="6" t="inlineStr">
        <is>
          <t>BOFU</t>
        </is>
      </c>
      <c r="L4" s="6" t="inlineStr">
        <is>
          <t>Platform / DevEx</t>
        </is>
      </c>
      <c r="M4" s="10" t="n">
        <v>5</v>
      </c>
      <c r="N4" s="6" t="inlineStr">
        <is>
          <t>Low</t>
        </is>
      </c>
      <c r="O4" s="11" t="n">
        <v>1</v>
      </c>
      <c r="P4" s="11" t="n">
        <v>3</v>
      </c>
      <c r="Q4" s="6">
        <f>ROUND(Scoring!$B$2*(M4/5)+Scoring!$B$3*MIN(1,LOG10(H4+1)/LOG10(Scoring!$B$4+1))+IF(OR(J4="Commercial",J4="Navigational"),Scoring!$B$5,IF(J4="Solution-aware",Scoring!$B$6,Scoring!$B$7)),0)</f>
        <v/>
      </c>
      <c r="R4" s="6">
        <f>IF(Q4&gt;=Scoring!$B$8,"Tier 1",IF(Q4&gt;=Scoring!$B$9,"Tier 2","Tier 3"))</f>
        <v/>
      </c>
      <c r="S4" s="6" t="inlineStr">
        <is>
          <t>https://appetize.io/ai</t>
        </is>
      </c>
      <c r="T4" s="6" t="inlineStr"/>
    </row>
    <row r="5">
      <c r="A5" s="6" t="n">
        <v>4</v>
      </c>
      <c r="B5" s="6" t="inlineStr">
        <is>
          <t>01 Brand – Appetize AI</t>
        </is>
      </c>
      <c r="C5" s="6" t="inlineStr">
        <is>
          <t>Brand – Core</t>
        </is>
      </c>
      <c r="D5" s="6" t="inlineStr">
        <is>
          <t>appetize</t>
        </is>
      </c>
      <c r="E5" s="6" t="inlineStr">
        <is>
          <t>Exact</t>
        </is>
      </c>
      <c r="F5" s="7" t="n">
        <v>2400</v>
      </c>
      <c r="G5" s="8" t="n"/>
      <c r="H5" s="9">
        <f>IF(G5&lt;&gt;"",G5,F5)</f>
        <v/>
      </c>
      <c r="I5" s="6" t="inlineStr">
        <is>
          <t>Medium</t>
        </is>
      </c>
      <c r="J5" s="6" t="inlineStr">
        <is>
          <t>Navigational</t>
        </is>
      </c>
      <c r="K5" s="6" t="inlineStr">
        <is>
          <t>BOFU</t>
        </is>
      </c>
      <c r="L5" s="6" t="inlineStr">
        <is>
          <t>All</t>
        </is>
      </c>
      <c r="M5" s="10" t="n">
        <v>4</v>
      </c>
      <c r="N5" s="6" t="inlineStr">
        <is>
          <t>Low</t>
        </is>
      </c>
      <c r="O5" s="11" t="n">
        <v>0.5</v>
      </c>
      <c r="P5" s="11" t="n">
        <v>2</v>
      </c>
      <c r="Q5" s="6">
        <f>ROUND(Scoring!$B$2*(M5/5)+Scoring!$B$3*MIN(1,LOG10(H5+1)/LOG10(Scoring!$B$4+1))+IF(OR(J5="Commercial",J5="Navigational"),Scoring!$B$5,IF(J5="Solution-aware",Scoring!$B$6,Scoring!$B$7)),0)</f>
        <v/>
      </c>
      <c r="R5" s="6">
        <f>IF(Q5&gt;=Scoring!$B$8,"Tier 1",IF(Q5&gt;=Scoring!$B$9,"Tier 2","Tier 3"))</f>
        <v/>
      </c>
      <c r="S5" s="6" t="inlineStr">
        <is>
          <t>https://appetize.io/ai</t>
        </is>
      </c>
      <c r="T5" s="6" t="inlineStr">
        <is>
          <t>Route existing brand traffic to /ai with sitelink</t>
        </is>
      </c>
    </row>
    <row r="6">
      <c r="A6" s="6" t="n">
        <v>5</v>
      </c>
      <c r="B6" s="6" t="inlineStr">
        <is>
          <t>01 Brand – Appetize AI</t>
        </is>
      </c>
      <c r="C6" s="6" t="inlineStr">
        <is>
          <t>Brand – Core</t>
        </is>
      </c>
      <c r="D6" s="6" t="inlineStr">
        <is>
          <t>appetize.io</t>
        </is>
      </c>
      <c r="E6" s="6" t="inlineStr">
        <is>
          <t>Exact</t>
        </is>
      </c>
      <c r="F6" s="7" t="n">
        <v>880</v>
      </c>
      <c r="G6" s="8" t="n"/>
      <c r="H6" s="9">
        <f>IF(G6&lt;&gt;"",G6,F6)</f>
        <v/>
      </c>
      <c r="I6" s="6" t="inlineStr">
        <is>
          <t>Medium</t>
        </is>
      </c>
      <c r="J6" s="6" t="inlineStr">
        <is>
          <t>Navigational</t>
        </is>
      </c>
      <c r="K6" s="6" t="inlineStr">
        <is>
          <t>BOFU</t>
        </is>
      </c>
      <c r="L6" s="6" t="inlineStr">
        <is>
          <t>All</t>
        </is>
      </c>
      <c r="M6" s="10" t="n">
        <v>4</v>
      </c>
      <c r="N6" s="6" t="inlineStr">
        <is>
          <t>Low</t>
        </is>
      </c>
      <c r="O6" s="11" t="n">
        <v>0.5</v>
      </c>
      <c r="P6" s="11" t="n">
        <v>2</v>
      </c>
      <c r="Q6" s="6">
        <f>ROUND(Scoring!$B$2*(M6/5)+Scoring!$B$3*MIN(1,LOG10(H6+1)/LOG10(Scoring!$B$4+1))+IF(OR(J6="Commercial",J6="Navigational"),Scoring!$B$5,IF(J6="Solution-aware",Scoring!$B$6,Scoring!$B$7)),0)</f>
        <v/>
      </c>
      <c r="R6" s="6">
        <f>IF(Q6&gt;=Scoring!$B$8,"Tier 1",IF(Q6&gt;=Scoring!$B$9,"Tier 2","Tier 3"))</f>
        <v/>
      </c>
      <c r="S6" s="6" t="inlineStr">
        <is>
          <t>https://appetize.io/ai</t>
        </is>
      </c>
      <c r="T6" s="6" t="inlineStr"/>
    </row>
    <row r="7">
      <c r="A7" s="6" t="n">
        <v>6</v>
      </c>
      <c r="B7" s="6" t="inlineStr">
        <is>
          <t>02 Agents × Mobile (MCP / CLI)</t>
        </is>
      </c>
      <c r="C7" s="6" t="inlineStr">
        <is>
          <t>Mobile MCP Server</t>
        </is>
      </c>
      <c r="D7" s="6" t="inlineStr">
        <is>
          <t>mobile mcp</t>
        </is>
      </c>
      <c r="E7" s="6" t="inlineStr">
        <is>
          <t>Phrase</t>
        </is>
      </c>
      <c r="F7" s="7" t="n">
        <v>260</v>
      </c>
      <c r="G7" s="8" t="n"/>
      <c r="H7" s="9">
        <f>IF(G7&lt;&gt;"",G7,F7)</f>
        <v/>
      </c>
      <c r="I7" s="6" t="inlineStr">
        <is>
          <t>Low</t>
        </is>
      </c>
      <c r="J7" s="6" t="inlineStr">
        <is>
          <t>Commercial</t>
        </is>
      </c>
      <c r="K7" s="6" t="inlineStr">
        <is>
          <t>MOFU</t>
        </is>
      </c>
      <c r="L7" s="6" t="inlineStr">
        <is>
          <t>Mobile Eng / AI Eng</t>
        </is>
      </c>
      <c r="M7" s="10" t="n">
        <v>5</v>
      </c>
      <c r="N7" s="6" t="inlineStr">
        <is>
          <t>Low</t>
        </is>
      </c>
      <c r="O7" s="11" t="n">
        <v>3</v>
      </c>
      <c r="P7" s="11" t="n">
        <v>9</v>
      </c>
      <c r="Q7" s="6">
        <f>ROUND(Scoring!$B$2*(M7/5)+Scoring!$B$3*MIN(1,LOG10(H7+1)/LOG10(Scoring!$B$4+1))+IF(OR(J7="Commercial",J7="Navigational"),Scoring!$B$5,IF(J7="Solution-aware",Scoring!$B$6,Scoring!$B$7)),0)</f>
        <v/>
      </c>
      <c r="R7" s="6">
        <f>IF(Q7&gt;=Scoring!$B$8,"Tier 1",IF(Q7&gt;=Scoring!$B$9,"Tier 2","Tier 3"))</f>
        <v/>
      </c>
      <c r="S7" s="6" t="inlineStr">
        <is>
          <t>https://appetize.io/ai</t>
        </is>
      </c>
      <c r="T7" s="6" t="inlineStr">
        <is>
          <t>Open-source mobile-next/mobile-mcp drives demand</t>
        </is>
      </c>
    </row>
    <row r="8">
      <c r="A8" s="6" t="n">
        <v>7</v>
      </c>
      <c r="B8" s="6" t="inlineStr">
        <is>
          <t>02 Agents × Mobile (MCP / CLI)</t>
        </is>
      </c>
      <c r="C8" s="6" t="inlineStr">
        <is>
          <t>Mobile MCP Server</t>
        </is>
      </c>
      <c r="D8" s="6" t="inlineStr">
        <is>
          <t>mobile mcp server</t>
        </is>
      </c>
      <c r="E8" s="6" t="inlineStr">
        <is>
          <t>Phrase</t>
        </is>
      </c>
      <c r="F8" s="7" t="n">
        <v>110</v>
      </c>
      <c r="G8" s="8" t="n"/>
      <c r="H8" s="9">
        <f>IF(G8&lt;&gt;"",G8,F8)</f>
        <v/>
      </c>
      <c r="I8" s="6" t="inlineStr">
        <is>
          <t>Low</t>
        </is>
      </c>
      <c r="J8" s="6" t="inlineStr">
        <is>
          <t>Commercial</t>
        </is>
      </c>
      <c r="K8" s="6" t="inlineStr">
        <is>
          <t>MOFU</t>
        </is>
      </c>
      <c r="L8" s="6" t="inlineStr">
        <is>
          <t>Mobile Eng / AI Eng</t>
        </is>
      </c>
      <c r="M8" s="10" t="n">
        <v>5</v>
      </c>
      <c r="N8" s="6" t="inlineStr">
        <is>
          <t>Low</t>
        </is>
      </c>
      <c r="O8" s="11" t="n">
        <v>3</v>
      </c>
      <c r="P8" s="11" t="n">
        <v>9</v>
      </c>
      <c r="Q8" s="6">
        <f>ROUND(Scoring!$B$2*(M8/5)+Scoring!$B$3*MIN(1,LOG10(H8+1)/LOG10(Scoring!$B$4+1))+IF(OR(J8="Commercial",J8="Navigational"),Scoring!$B$5,IF(J8="Solution-aware",Scoring!$B$6,Scoring!$B$7)),0)</f>
        <v/>
      </c>
      <c r="R8" s="6">
        <f>IF(Q8&gt;=Scoring!$B$8,"Tier 1",IF(Q8&gt;=Scoring!$B$9,"Tier 2","Tier 3"))</f>
        <v/>
      </c>
      <c r="S8" s="6" t="inlineStr">
        <is>
          <t>https://appetize.io/ai</t>
        </is>
      </c>
      <c r="T8" s="6" t="inlineStr"/>
    </row>
    <row r="9">
      <c r="A9" s="6" t="n">
        <v>8</v>
      </c>
      <c r="B9" s="6" t="inlineStr">
        <is>
          <t>02 Agents × Mobile (MCP / CLI)</t>
        </is>
      </c>
      <c r="C9" s="6" t="inlineStr">
        <is>
          <t>Mobile MCP Server</t>
        </is>
      </c>
      <c r="D9" s="6" t="inlineStr">
        <is>
          <t>mcp server for mobile app testing</t>
        </is>
      </c>
      <c r="E9" s="6" t="inlineStr">
        <is>
          <t>Phrase</t>
        </is>
      </c>
      <c r="F9" s="7" t="n">
        <v>50</v>
      </c>
      <c r="G9" s="8" t="n"/>
      <c r="H9" s="9">
        <f>IF(G9&lt;&gt;"",G9,F9)</f>
        <v/>
      </c>
      <c r="I9" s="6" t="inlineStr">
        <is>
          <t>Low</t>
        </is>
      </c>
      <c r="J9" s="6" t="inlineStr">
        <is>
          <t>Commercial</t>
        </is>
      </c>
      <c r="K9" s="6" t="inlineStr">
        <is>
          <t>MOFU</t>
        </is>
      </c>
      <c r="L9" s="6" t="inlineStr">
        <is>
          <t>QA Automation</t>
        </is>
      </c>
      <c r="M9" s="10" t="n">
        <v>5</v>
      </c>
      <c r="N9" s="6" t="inlineStr">
        <is>
          <t>Low</t>
        </is>
      </c>
      <c r="O9" s="11" t="n">
        <v>3</v>
      </c>
      <c r="P9" s="11" t="n">
        <v>9</v>
      </c>
      <c r="Q9" s="6">
        <f>ROUND(Scoring!$B$2*(M9/5)+Scoring!$B$3*MIN(1,LOG10(H9+1)/LOG10(Scoring!$B$4+1))+IF(OR(J9="Commercial",J9="Navigational"),Scoring!$B$5,IF(J9="Solution-aware",Scoring!$B$6,Scoring!$B$7)),0)</f>
        <v/>
      </c>
      <c r="R9" s="6">
        <f>IF(Q9&gt;=Scoring!$B$8,"Tier 1",IF(Q9&gt;=Scoring!$B$9,"Tier 2","Tier 3"))</f>
        <v/>
      </c>
      <c r="S9" s="6" t="inlineStr">
        <is>
          <t>https://appetize.io/ai</t>
        </is>
      </c>
      <c r="T9" s="6" t="inlineStr"/>
    </row>
    <row r="10">
      <c r="A10" s="6" t="n">
        <v>9</v>
      </c>
      <c r="B10" s="6" t="inlineStr">
        <is>
          <t>02 Agents × Mobile (MCP / CLI)</t>
        </is>
      </c>
      <c r="C10" s="6" t="inlineStr">
        <is>
          <t>Mobile MCP Server</t>
        </is>
      </c>
      <c r="D10" s="6" t="inlineStr">
        <is>
          <t>mcp for mobile app development</t>
        </is>
      </c>
      <c r="E10" s="6" t="inlineStr">
        <is>
          <t>Phrase</t>
        </is>
      </c>
      <c r="F10" s="7" t="n">
        <v>50</v>
      </c>
      <c r="G10" s="8" t="n"/>
      <c r="H10" s="9">
        <f>IF(G10&lt;&gt;"",G10,F10)</f>
        <v/>
      </c>
      <c r="I10" s="6" t="inlineStr">
        <is>
          <t>Low</t>
        </is>
      </c>
      <c r="J10" s="6" t="inlineStr">
        <is>
          <t>Commercial</t>
        </is>
      </c>
      <c r="K10" s="6" t="inlineStr">
        <is>
          <t>MOFU</t>
        </is>
      </c>
      <c r="L10" s="6" t="inlineStr">
        <is>
          <t>Mobile Eng</t>
        </is>
      </c>
      <c r="M10" s="10" t="n">
        <v>5</v>
      </c>
      <c r="N10" s="6" t="inlineStr">
        <is>
          <t>Low</t>
        </is>
      </c>
      <c r="O10" s="11" t="n">
        <v>3</v>
      </c>
      <c r="P10" s="11" t="n">
        <v>9</v>
      </c>
      <c r="Q10" s="6">
        <f>ROUND(Scoring!$B$2*(M10/5)+Scoring!$B$3*MIN(1,LOG10(H10+1)/LOG10(Scoring!$B$4+1))+IF(OR(J10="Commercial",J10="Navigational"),Scoring!$B$5,IF(J10="Solution-aware",Scoring!$B$6,Scoring!$B$7)),0)</f>
        <v/>
      </c>
      <c r="R10" s="6">
        <f>IF(Q10&gt;=Scoring!$B$8,"Tier 1",IF(Q10&gt;=Scoring!$B$9,"Tier 2","Tier 3"))</f>
        <v/>
      </c>
      <c r="S10" s="6" t="inlineStr">
        <is>
          <t>https://appetize.io/ai</t>
        </is>
      </c>
      <c r="T10" s="6" t="inlineStr"/>
    </row>
    <row r="11">
      <c r="A11" s="6" t="n">
        <v>10</v>
      </c>
      <c r="B11" s="6" t="inlineStr">
        <is>
          <t>02 Agents × Mobile (MCP / CLI)</t>
        </is>
      </c>
      <c r="C11" s="6" t="inlineStr">
        <is>
          <t>Mobile MCP Server</t>
        </is>
      </c>
      <c r="D11" s="6" t="inlineStr">
        <is>
          <t>appium mcp</t>
        </is>
      </c>
      <c r="E11" s="6" t="inlineStr">
        <is>
          <t>Phrase</t>
        </is>
      </c>
      <c r="F11" s="7" t="n">
        <v>170</v>
      </c>
      <c r="G11" s="8" t="n"/>
      <c r="H11" s="9">
        <f>IF(G11&lt;&gt;"",G11,F11)</f>
        <v/>
      </c>
      <c r="I11" s="6" t="inlineStr">
        <is>
          <t>Low</t>
        </is>
      </c>
      <c r="J11" s="6" t="inlineStr">
        <is>
          <t>Commercial</t>
        </is>
      </c>
      <c r="K11" s="6" t="inlineStr">
        <is>
          <t>MOFU</t>
        </is>
      </c>
      <c r="L11" s="6" t="inlineStr">
        <is>
          <t>QA Automation</t>
        </is>
      </c>
      <c r="M11" s="10" t="n">
        <v>4</v>
      </c>
      <c r="N11" s="6" t="inlineStr">
        <is>
          <t>Low</t>
        </is>
      </c>
      <c r="O11" s="11" t="n">
        <v>3</v>
      </c>
      <c r="P11" s="11" t="n">
        <v>8</v>
      </c>
      <c r="Q11" s="6">
        <f>ROUND(Scoring!$B$2*(M11/5)+Scoring!$B$3*MIN(1,LOG10(H11+1)/LOG10(Scoring!$B$4+1))+IF(OR(J11="Commercial",J11="Navigational"),Scoring!$B$5,IF(J11="Solution-aware",Scoring!$B$6,Scoring!$B$7)),0)</f>
        <v/>
      </c>
      <c r="R11" s="6">
        <f>IF(Q11&gt;=Scoring!$B$8,"Tier 1",IF(Q11&gt;=Scoring!$B$9,"Tier 2","Tier 3"))</f>
        <v/>
      </c>
      <c r="S11" s="6" t="inlineStr">
        <is>
          <t>https://appetize.io/ai</t>
        </is>
      </c>
      <c r="T11" s="6" t="inlineStr"/>
    </row>
    <row r="12">
      <c r="A12" s="6" t="n">
        <v>11</v>
      </c>
      <c r="B12" s="6" t="inlineStr">
        <is>
          <t>02 Agents × Mobile (MCP / CLI)</t>
        </is>
      </c>
      <c r="C12" s="6" t="inlineStr">
        <is>
          <t>Mobile MCP Server</t>
        </is>
      </c>
      <c r="D12" s="6" t="inlineStr">
        <is>
          <t>maestro mcp</t>
        </is>
      </c>
      <c r="E12" s="6" t="inlineStr">
        <is>
          <t>Phrase</t>
        </is>
      </c>
      <c r="F12" s="7" t="n">
        <v>50</v>
      </c>
      <c r="G12" s="8" t="n"/>
      <c r="H12" s="9">
        <f>IF(G12&lt;&gt;"",G12,F12)</f>
        <v/>
      </c>
      <c r="I12" s="6" t="inlineStr">
        <is>
          <t>Low</t>
        </is>
      </c>
      <c r="J12" s="6" t="inlineStr">
        <is>
          <t>Commercial</t>
        </is>
      </c>
      <c r="K12" s="6" t="inlineStr">
        <is>
          <t>MOFU</t>
        </is>
      </c>
      <c r="L12" s="6" t="inlineStr">
        <is>
          <t>QA Automation</t>
        </is>
      </c>
      <c r="M12" s="10" t="n">
        <v>4</v>
      </c>
      <c r="N12" s="6" t="inlineStr">
        <is>
          <t>Low</t>
        </is>
      </c>
      <c r="O12" s="11" t="n">
        <v>3</v>
      </c>
      <c r="P12" s="11" t="n">
        <v>8</v>
      </c>
      <c r="Q12" s="6">
        <f>ROUND(Scoring!$B$2*(M12/5)+Scoring!$B$3*MIN(1,LOG10(H12+1)/LOG10(Scoring!$B$4+1))+IF(OR(J12="Commercial",J12="Navigational"),Scoring!$B$5,IF(J12="Solution-aware",Scoring!$B$6,Scoring!$B$7)),0)</f>
        <v/>
      </c>
      <c r="R12" s="6">
        <f>IF(Q12&gt;=Scoring!$B$8,"Tier 1",IF(Q12&gt;=Scoring!$B$9,"Tier 2","Tier 3"))</f>
        <v/>
      </c>
      <c r="S12" s="6" t="inlineStr">
        <is>
          <t>https://appetize.io/ai</t>
        </is>
      </c>
      <c r="T12" s="6" t="inlineStr"/>
    </row>
    <row r="13">
      <c r="A13" s="6" t="n">
        <v>12</v>
      </c>
      <c r="B13" s="6" t="inlineStr">
        <is>
          <t>02 Agents × Mobile (MCP / CLI)</t>
        </is>
      </c>
      <c r="C13" s="6" t="inlineStr">
        <is>
          <t>iOS Simulator MCP</t>
        </is>
      </c>
      <c r="D13" s="6" t="inlineStr">
        <is>
          <t>ios simulator mcp</t>
        </is>
      </c>
      <c r="E13" s="6" t="inlineStr">
        <is>
          <t>Phrase</t>
        </is>
      </c>
      <c r="F13" s="7" t="n">
        <v>170</v>
      </c>
      <c r="G13" s="8" t="n"/>
      <c r="H13" s="9">
        <f>IF(G13&lt;&gt;"",G13,F13)</f>
        <v/>
      </c>
      <c r="I13" s="6" t="inlineStr">
        <is>
          <t>Low</t>
        </is>
      </c>
      <c r="J13" s="6" t="inlineStr">
        <is>
          <t>Commercial</t>
        </is>
      </c>
      <c r="K13" s="6" t="inlineStr">
        <is>
          <t>MOFU</t>
        </is>
      </c>
      <c r="L13" s="6" t="inlineStr">
        <is>
          <t>iOS Eng</t>
        </is>
      </c>
      <c r="M13" s="10" t="n">
        <v>5</v>
      </c>
      <c r="N13" s="6" t="inlineStr">
        <is>
          <t>Low</t>
        </is>
      </c>
      <c r="O13" s="11" t="n">
        <v>3</v>
      </c>
      <c r="P13" s="11" t="n">
        <v>10</v>
      </c>
      <c r="Q13" s="6">
        <f>ROUND(Scoring!$B$2*(M13/5)+Scoring!$B$3*MIN(1,LOG10(H13+1)/LOG10(Scoring!$B$4+1))+IF(OR(J13="Commercial",J13="Navigational"),Scoring!$B$5,IF(J13="Solution-aware",Scoring!$B$6,Scoring!$B$7)),0)</f>
        <v/>
      </c>
      <c r="R13" s="6">
        <f>IF(Q13&gt;=Scoring!$B$8,"Tier 1",IF(Q13&gt;=Scoring!$B$9,"Tier 2","Tier 3"))</f>
        <v/>
      </c>
      <c r="S13" s="6" t="inlineStr">
        <is>
          <t>https://appetize.io/ai</t>
        </is>
      </c>
      <c r="T13" s="6" t="inlineStr">
        <is>
          <t>joshuayoes/ios-simulator-mcp is referenced in Anthropic's Claude Code best practices</t>
        </is>
      </c>
    </row>
    <row r="14">
      <c r="A14" s="6" t="n">
        <v>13</v>
      </c>
      <c r="B14" s="6" t="inlineStr">
        <is>
          <t>02 Agents × Mobile (MCP / CLI)</t>
        </is>
      </c>
      <c r="C14" s="6" t="inlineStr">
        <is>
          <t>iOS Simulator MCP</t>
        </is>
      </c>
      <c r="D14" s="6" t="inlineStr">
        <is>
          <t>xcode mcp</t>
        </is>
      </c>
      <c r="E14" s="6" t="inlineStr">
        <is>
          <t>Phrase</t>
        </is>
      </c>
      <c r="F14" s="7" t="n">
        <v>480</v>
      </c>
      <c r="G14" s="8" t="n"/>
      <c r="H14" s="9">
        <f>IF(G14&lt;&gt;"",G14,F14)</f>
        <v/>
      </c>
      <c r="I14" s="6" t="inlineStr">
        <is>
          <t>Low</t>
        </is>
      </c>
      <c r="J14" s="6" t="inlineStr">
        <is>
          <t>Commercial</t>
        </is>
      </c>
      <c r="K14" s="6" t="inlineStr">
        <is>
          <t>MOFU</t>
        </is>
      </c>
      <c r="L14" s="6" t="inlineStr">
        <is>
          <t>iOS Eng</t>
        </is>
      </c>
      <c r="M14" s="10" t="n">
        <v>4</v>
      </c>
      <c r="N14" s="6" t="inlineStr">
        <is>
          <t>Medium</t>
        </is>
      </c>
      <c r="O14" s="11" t="n">
        <v>3</v>
      </c>
      <c r="P14" s="11" t="n">
        <v>10</v>
      </c>
      <c r="Q14" s="6">
        <f>ROUND(Scoring!$B$2*(M14/5)+Scoring!$B$3*MIN(1,LOG10(H14+1)/LOG10(Scoring!$B$4+1))+IF(OR(J14="Commercial",J14="Navigational"),Scoring!$B$5,IF(J14="Solution-aware",Scoring!$B$6,Scoring!$B$7)),0)</f>
        <v/>
      </c>
      <c r="R14" s="6">
        <f>IF(Q14&gt;=Scoring!$B$8,"Tier 1",IF(Q14&gt;=Scoring!$B$9,"Tier 2","Tier 3"))</f>
        <v/>
      </c>
      <c r="S14" s="6" t="inlineStr">
        <is>
          <t>https://appetize.io/ai</t>
        </is>
      </c>
      <c r="T14" s="6" t="inlineStr">
        <is>
          <t>Includes Apple Xcode MCP searches; watch search terms</t>
        </is>
      </c>
    </row>
    <row r="15">
      <c r="A15" s="6" t="n">
        <v>14</v>
      </c>
      <c r="B15" s="6" t="inlineStr">
        <is>
          <t>02 Agents × Mobile (MCP / CLI)</t>
        </is>
      </c>
      <c r="C15" s="6" t="inlineStr">
        <is>
          <t>iOS Simulator MCP</t>
        </is>
      </c>
      <c r="D15" s="6" t="inlineStr">
        <is>
          <t>xcodebuildmcp</t>
        </is>
      </c>
      <c r="E15" s="6" t="inlineStr">
        <is>
          <t>Phrase</t>
        </is>
      </c>
      <c r="F15" s="7" t="n">
        <v>390</v>
      </c>
      <c r="G15" s="8" t="n"/>
      <c r="H15" s="9">
        <f>IF(G15&lt;&gt;"",G15,F15)</f>
        <v/>
      </c>
      <c r="I15" s="6" t="inlineStr">
        <is>
          <t>Low</t>
        </is>
      </c>
      <c r="J15" s="6" t="inlineStr">
        <is>
          <t>Commercial</t>
        </is>
      </c>
      <c r="K15" s="6" t="inlineStr">
        <is>
          <t>MOFU</t>
        </is>
      </c>
      <c r="L15" s="6" t="inlineStr">
        <is>
          <t>iOS Eng</t>
        </is>
      </c>
      <c r="M15" s="10" t="n">
        <v>4</v>
      </c>
      <c r="N15" s="6" t="inlineStr">
        <is>
          <t>Low</t>
        </is>
      </c>
      <c r="O15" s="11" t="n">
        <v>2</v>
      </c>
      <c r="P15" s="11" t="n">
        <v>8</v>
      </c>
      <c r="Q15" s="6">
        <f>ROUND(Scoring!$B$2*(M15/5)+Scoring!$B$3*MIN(1,LOG10(H15+1)/LOG10(Scoring!$B$4+1))+IF(OR(J15="Commercial",J15="Navigational"),Scoring!$B$5,IF(J15="Solution-aware",Scoring!$B$6,Scoring!$B$7)),0)</f>
        <v/>
      </c>
      <c r="R15" s="6">
        <f>IF(Q15&gt;=Scoring!$B$8,"Tier 1",IF(Q15&gt;=Scoring!$B$9,"Tier 2","Tier 3"))</f>
        <v/>
      </c>
      <c r="S15" s="6" t="inlineStr">
        <is>
          <t>https://appetize.io/ai</t>
        </is>
      </c>
      <c r="T15" s="6" t="inlineStr">
        <is>
          <t>Sentry OSS; complement not replace – message 'run it in the cloud'</t>
        </is>
      </c>
    </row>
    <row r="16">
      <c r="A16" s="6" t="n">
        <v>15</v>
      </c>
      <c r="B16" s="6" t="inlineStr">
        <is>
          <t>02 Agents × Mobile (MCP / CLI)</t>
        </is>
      </c>
      <c r="C16" s="6" t="inlineStr">
        <is>
          <t>iOS Simulator MCP</t>
        </is>
      </c>
      <c r="D16" s="6" t="inlineStr">
        <is>
          <t>ios mcp server</t>
        </is>
      </c>
      <c r="E16" s="6" t="inlineStr">
        <is>
          <t>Phrase</t>
        </is>
      </c>
      <c r="F16" s="7" t="n">
        <v>70</v>
      </c>
      <c r="G16" s="8" t="n"/>
      <c r="H16" s="9">
        <f>IF(G16&lt;&gt;"",G16,F16)</f>
        <v/>
      </c>
      <c r="I16" s="6" t="inlineStr">
        <is>
          <t>Low</t>
        </is>
      </c>
      <c r="J16" s="6" t="inlineStr">
        <is>
          <t>Commercial</t>
        </is>
      </c>
      <c r="K16" s="6" t="inlineStr">
        <is>
          <t>MOFU</t>
        </is>
      </c>
      <c r="L16" s="6" t="inlineStr">
        <is>
          <t>iOS Eng</t>
        </is>
      </c>
      <c r="M16" s="10" t="n">
        <v>5</v>
      </c>
      <c r="N16" s="6" t="inlineStr">
        <is>
          <t>Low</t>
        </is>
      </c>
      <c r="O16" s="11" t="n">
        <v>3</v>
      </c>
      <c r="P16" s="11" t="n">
        <v>9</v>
      </c>
      <c r="Q16" s="6">
        <f>ROUND(Scoring!$B$2*(M16/5)+Scoring!$B$3*MIN(1,LOG10(H16+1)/LOG10(Scoring!$B$4+1))+IF(OR(J16="Commercial",J16="Navigational"),Scoring!$B$5,IF(J16="Solution-aware",Scoring!$B$6,Scoring!$B$7)),0)</f>
        <v/>
      </c>
      <c r="R16" s="6">
        <f>IF(Q16&gt;=Scoring!$B$8,"Tier 1",IF(Q16&gt;=Scoring!$B$9,"Tier 2","Tier 3"))</f>
        <v/>
      </c>
      <c r="S16" s="6" t="inlineStr">
        <is>
          <t>https://appetize.io/ai</t>
        </is>
      </c>
      <c r="T16" s="6" t="inlineStr"/>
    </row>
    <row r="17">
      <c r="A17" s="6" t="n">
        <v>16</v>
      </c>
      <c r="B17" s="6" t="inlineStr">
        <is>
          <t>02 Agents × Mobile (MCP / CLI)</t>
        </is>
      </c>
      <c r="C17" s="6" t="inlineStr">
        <is>
          <t>Android Emulator MCP</t>
        </is>
      </c>
      <c r="D17" s="6" t="inlineStr">
        <is>
          <t>android mcp</t>
        </is>
      </c>
      <c r="E17" s="6" t="inlineStr">
        <is>
          <t>Phrase</t>
        </is>
      </c>
      <c r="F17" s="7" t="n">
        <v>140</v>
      </c>
      <c r="G17" s="8" t="n"/>
      <c r="H17" s="9">
        <f>IF(G17&lt;&gt;"",G17,F17)</f>
        <v/>
      </c>
      <c r="I17" s="6" t="inlineStr">
        <is>
          <t>Low</t>
        </is>
      </c>
      <c r="J17" s="6" t="inlineStr">
        <is>
          <t>Commercial</t>
        </is>
      </c>
      <c r="K17" s="6" t="inlineStr">
        <is>
          <t>MOFU</t>
        </is>
      </c>
      <c r="L17" s="6" t="inlineStr">
        <is>
          <t>Android Eng</t>
        </is>
      </c>
      <c r="M17" s="10" t="n">
        <v>5</v>
      </c>
      <c r="N17" s="6" t="inlineStr">
        <is>
          <t>Low</t>
        </is>
      </c>
      <c r="O17" s="11" t="n">
        <v>3</v>
      </c>
      <c r="P17" s="11" t="n">
        <v>9</v>
      </c>
      <c r="Q17" s="6">
        <f>ROUND(Scoring!$B$2*(M17/5)+Scoring!$B$3*MIN(1,LOG10(H17+1)/LOG10(Scoring!$B$4+1))+IF(OR(J17="Commercial",J17="Navigational"),Scoring!$B$5,IF(J17="Solution-aware",Scoring!$B$6,Scoring!$B$7)),0)</f>
        <v/>
      </c>
      <c r="R17" s="6">
        <f>IF(Q17&gt;=Scoring!$B$8,"Tier 1",IF(Q17&gt;=Scoring!$B$9,"Tier 2","Tier 3"))</f>
        <v/>
      </c>
      <c r="S17" s="6" t="inlineStr">
        <is>
          <t>https://appetize.io/ai</t>
        </is>
      </c>
      <c r="T17" s="6" t="inlineStr"/>
    </row>
    <row r="18">
      <c r="A18" s="6" t="n">
        <v>17</v>
      </c>
      <c r="B18" s="6" t="inlineStr">
        <is>
          <t>02 Agents × Mobile (MCP / CLI)</t>
        </is>
      </c>
      <c r="C18" s="6" t="inlineStr">
        <is>
          <t>Android Emulator MCP</t>
        </is>
      </c>
      <c r="D18" s="6" t="inlineStr">
        <is>
          <t>android emulator mcp</t>
        </is>
      </c>
      <c r="E18" s="6" t="inlineStr">
        <is>
          <t>Phrase</t>
        </is>
      </c>
      <c r="F18" s="7" t="n">
        <v>50</v>
      </c>
      <c r="G18" s="8" t="n"/>
      <c r="H18" s="9">
        <f>IF(G18&lt;&gt;"",G18,F18)</f>
        <v/>
      </c>
      <c r="I18" s="6" t="inlineStr">
        <is>
          <t>Low</t>
        </is>
      </c>
      <c r="J18" s="6" t="inlineStr">
        <is>
          <t>Commercial</t>
        </is>
      </c>
      <c r="K18" s="6" t="inlineStr">
        <is>
          <t>MOFU</t>
        </is>
      </c>
      <c r="L18" s="6" t="inlineStr">
        <is>
          <t>Android Eng</t>
        </is>
      </c>
      <c r="M18" s="10" t="n">
        <v>5</v>
      </c>
      <c r="N18" s="6" t="inlineStr">
        <is>
          <t>Low</t>
        </is>
      </c>
      <c r="O18" s="11" t="n">
        <v>3</v>
      </c>
      <c r="P18" s="11" t="n">
        <v>9</v>
      </c>
      <c r="Q18" s="6">
        <f>ROUND(Scoring!$B$2*(M18/5)+Scoring!$B$3*MIN(1,LOG10(H18+1)/LOG10(Scoring!$B$4+1))+IF(OR(J18="Commercial",J18="Navigational"),Scoring!$B$5,IF(J18="Solution-aware",Scoring!$B$6,Scoring!$B$7)),0)</f>
        <v/>
      </c>
      <c r="R18" s="6">
        <f>IF(Q18&gt;=Scoring!$B$8,"Tier 1",IF(Q18&gt;=Scoring!$B$9,"Tier 2","Tier 3"))</f>
        <v/>
      </c>
      <c r="S18" s="6" t="inlineStr">
        <is>
          <t>https://appetize.io/ai</t>
        </is>
      </c>
      <c r="T18" s="6" t="inlineStr"/>
    </row>
    <row r="19">
      <c r="A19" s="6" t="n">
        <v>18</v>
      </c>
      <c r="B19" s="6" t="inlineStr">
        <is>
          <t>02 Agents × Mobile (MCP / CLI)</t>
        </is>
      </c>
      <c r="C19" s="6" t="inlineStr">
        <is>
          <t>Android Emulator MCP</t>
        </is>
      </c>
      <c r="D19" s="6" t="inlineStr">
        <is>
          <t>adb mcp server</t>
        </is>
      </c>
      <c r="E19" s="6" t="inlineStr">
        <is>
          <t>Phrase</t>
        </is>
      </c>
      <c r="F19" s="7" t="n">
        <v>40</v>
      </c>
      <c r="G19" s="8" t="n"/>
      <c r="H19" s="9">
        <f>IF(G19&lt;&gt;"",G19,F19)</f>
        <v/>
      </c>
      <c r="I19" s="6" t="inlineStr">
        <is>
          <t>Low</t>
        </is>
      </c>
      <c r="J19" s="6" t="inlineStr">
        <is>
          <t>Commercial</t>
        </is>
      </c>
      <c r="K19" s="6" t="inlineStr">
        <is>
          <t>MOFU</t>
        </is>
      </c>
      <c r="L19" s="6" t="inlineStr">
        <is>
          <t>Android Eng</t>
        </is>
      </c>
      <c r="M19" s="10" t="n">
        <v>4</v>
      </c>
      <c r="N19" s="6" t="inlineStr">
        <is>
          <t>Low</t>
        </is>
      </c>
      <c r="O19" s="11" t="n">
        <v>2</v>
      </c>
      <c r="P19" s="11" t="n">
        <v>8</v>
      </c>
      <c r="Q19" s="6">
        <f>ROUND(Scoring!$B$2*(M19/5)+Scoring!$B$3*MIN(1,LOG10(H19+1)/LOG10(Scoring!$B$4+1))+IF(OR(J19="Commercial",J19="Navigational"),Scoring!$B$5,IF(J19="Solution-aware",Scoring!$B$6,Scoring!$B$7)),0)</f>
        <v/>
      </c>
      <c r="R19" s="6">
        <f>IF(Q19&gt;=Scoring!$B$8,"Tier 1",IF(Q19&gt;=Scoring!$B$9,"Tier 2","Tier 3"))</f>
        <v/>
      </c>
      <c r="S19" s="6" t="inlineStr">
        <is>
          <t>https://appetize.io/ai</t>
        </is>
      </c>
      <c r="T19" s="6" t="inlineStr"/>
    </row>
    <row r="20">
      <c r="A20" s="6" t="n">
        <v>19</v>
      </c>
      <c r="B20" s="6" t="inlineStr">
        <is>
          <t>02 Agents × Mobile (MCP / CLI)</t>
        </is>
      </c>
      <c r="C20" s="6" t="inlineStr">
        <is>
          <t>Coding Agent + Mobile</t>
        </is>
      </c>
      <c r="D20" s="6" t="inlineStr">
        <is>
          <t>claude code ios development</t>
        </is>
      </c>
      <c r="E20" s="6" t="inlineStr">
        <is>
          <t>Phrase</t>
        </is>
      </c>
      <c r="F20" s="7" t="n">
        <v>170</v>
      </c>
      <c r="G20" s="8" t="n"/>
      <c r="H20" s="9">
        <f>IF(G20&lt;&gt;"",G20,F20)</f>
        <v/>
      </c>
      <c r="I20" s="6" t="inlineStr">
        <is>
          <t>Low</t>
        </is>
      </c>
      <c r="J20" s="6" t="inlineStr">
        <is>
          <t>Solution-aware</t>
        </is>
      </c>
      <c r="K20" s="6" t="inlineStr">
        <is>
          <t>MOFU</t>
        </is>
      </c>
      <c r="L20" s="6" t="inlineStr">
        <is>
          <t>iOS Eng</t>
        </is>
      </c>
      <c r="M20" s="10" t="n">
        <v>5</v>
      </c>
      <c r="N20" s="6" t="inlineStr">
        <is>
          <t>Low</t>
        </is>
      </c>
      <c r="O20" s="11" t="n">
        <v>2</v>
      </c>
      <c r="P20" s="11" t="n">
        <v>8</v>
      </c>
      <c r="Q20" s="6">
        <f>ROUND(Scoring!$B$2*(M20/5)+Scoring!$B$3*MIN(1,LOG10(H20+1)/LOG10(Scoring!$B$4+1))+IF(OR(J20="Commercial",J20="Navigational"),Scoring!$B$5,IF(J20="Solution-aware",Scoring!$B$6,Scoring!$B$7)),0)</f>
        <v/>
      </c>
      <c r="R20" s="6">
        <f>IF(Q20&gt;=Scoring!$B$8,"Tier 1",IF(Q20&gt;=Scoring!$B$9,"Tier 2","Tier 3"))</f>
        <v/>
      </c>
      <c r="S20" s="6" t="inlineStr">
        <is>
          <t>https://appetize.io/ai</t>
        </is>
      </c>
      <c r="T20" s="6" t="inlineStr"/>
    </row>
    <row r="21">
      <c r="A21" s="6" t="n">
        <v>20</v>
      </c>
      <c r="B21" s="6" t="inlineStr">
        <is>
          <t>02 Agents × Mobile (MCP / CLI)</t>
        </is>
      </c>
      <c r="C21" s="6" t="inlineStr">
        <is>
          <t>Coding Agent + Mobile</t>
        </is>
      </c>
      <c r="D21" s="6" t="inlineStr">
        <is>
          <t>claude code mobile app</t>
        </is>
      </c>
      <c r="E21" s="6" t="inlineStr">
        <is>
          <t>Phrase</t>
        </is>
      </c>
      <c r="F21" s="7" t="n">
        <v>260</v>
      </c>
      <c r="G21" s="8" t="n"/>
      <c r="H21" s="9">
        <f>IF(G21&lt;&gt;"",G21,F21)</f>
        <v/>
      </c>
      <c r="I21" s="6" t="inlineStr">
        <is>
          <t>Low</t>
        </is>
      </c>
      <c r="J21" s="6" t="inlineStr">
        <is>
          <t>Solution-aware</t>
        </is>
      </c>
      <c r="K21" s="6" t="inlineStr">
        <is>
          <t>MOFU</t>
        </is>
      </c>
      <c r="L21" s="6" t="inlineStr">
        <is>
          <t>Mobile Eng</t>
        </is>
      </c>
      <c r="M21" s="10" t="n">
        <v>5</v>
      </c>
      <c r="N21" s="6" t="inlineStr">
        <is>
          <t>Low</t>
        </is>
      </c>
      <c r="O21" s="11" t="n">
        <v>2</v>
      </c>
      <c r="P21" s="11" t="n">
        <v>8</v>
      </c>
      <c r="Q21" s="6">
        <f>ROUND(Scoring!$B$2*(M21/5)+Scoring!$B$3*MIN(1,LOG10(H21+1)/LOG10(Scoring!$B$4+1))+IF(OR(J21="Commercial",J21="Navigational"),Scoring!$B$5,IF(J21="Solution-aware",Scoring!$B$6,Scoring!$B$7)),0)</f>
        <v/>
      </c>
      <c r="R21" s="6">
        <f>IF(Q21&gt;=Scoring!$B$8,"Tier 1",IF(Q21&gt;=Scoring!$B$9,"Tier 2","Tier 3"))</f>
        <v/>
      </c>
      <c r="S21" s="6" t="inlineStr">
        <is>
          <t>https://appetize.io/ai</t>
        </is>
      </c>
      <c r="T21" s="6" t="inlineStr"/>
    </row>
    <row r="22">
      <c r="A22" s="6" t="n">
        <v>21</v>
      </c>
      <c r="B22" s="6" t="inlineStr">
        <is>
          <t>02 Agents × Mobile (MCP / CLI)</t>
        </is>
      </c>
      <c r="C22" s="6" t="inlineStr">
        <is>
          <t>Coding Agent + Mobile</t>
        </is>
      </c>
      <c r="D22" s="6" t="inlineStr">
        <is>
          <t>claude code android</t>
        </is>
      </c>
      <c r="E22" s="6" t="inlineStr">
        <is>
          <t>Phrase</t>
        </is>
      </c>
      <c r="F22" s="7" t="n">
        <v>110</v>
      </c>
      <c r="G22" s="8" t="n"/>
      <c r="H22" s="9">
        <f>IF(G22&lt;&gt;"",G22,F22)</f>
        <v/>
      </c>
      <c r="I22" s="6" t="inlineStr">
        <is>
          <t>Low</t>
        </is>
      </c>
      <c r="J22" s="6" t="inlineStr">
        <is>
          <t>Solution-aware</t>
        </is>
      </c>
      <c r="K22" s="6" t="inlineStr">
        <is>
          <t>MOFU</t>
        </is>
      </c>
      <c r="L22" s="6" t="inlineStr">
        <is>
          <t>Android Eng</t>
        </is>
      </c>
      <c r="M22" s="10" t="n">
        <v>5</v>
      </c>
      <c r="N22" s="6" t="inlineStr">
        <is>
          <t>Low</t>
        </is>
      </c>
      <c r="O22" s="11" t="n">
        <v>2</v>
      </c>
      <c r="P22" s="11" t="n">
        <v>8</v>
      </c>
      <c r="Q22" s="6">
        <f>ROUND(Scoring!$B$2*(M22/5)+Scoring!$B$3*MIN(1,LOG10(H22+1)/LOG10(Scoring!$B$4+1))+IF(OR(J22="Commercial",J22="Navigational"),Scoring!$B$5,IF(J22="Solution-aware",Scoring!$B$6,Scoring!$B$7)),0)</f>
        <v/>
      </c>
      <c r="R22" s="6">
        <f>IF(Q22&gt;=Scoring!$B$8,"Tier 1",IF(Q22&gt;=Scoring!$B$9,"Tier 2","Tier 3"))</f>
        <v/>
      </c>
      <c r="S22" s="6" t="inlineStr">
        <is>
          <t>https://appetize.io/ai</t>
        </is>
      </c>
      <c r="T22" s="6" t="inlineStr"/>
    </row>
    <row r="23">
      <c r="A23" s="6" t="n">
        <v>22</v>
      </c>
      <c r="B23" s="6" t="inlineStr">
        <is>
          <t>02 Agents × Mobile (MCP / CLI)</t>
        </is>
      </c>
      <c r="C23" s="6" t="inlineStr">
        <is>
          <t>Coding Agent + Mobile</t>
        </is>
      </c>
      <c r="D23" s="6" t="inlineStr">
        <is>
          <t>claude code xcode</t>
        </is>
      </c>
      <c r="E23" s="6" t="inlineStr">
        <is>
          <t>Phrase</t>
        </is>
      </c>
      <c r="F23" s="7" t="n">
        <v>320</v>
      </c>
      <c r="G23" s="8" t="n"/>
      <c r="H23" s="9">
        <f>IF(G23&lt;&gt;"",G23,F23)</f>
        <v/>
      </c>
      <c r="I23" s="6" t="inlineStr">
        <is>
          <t>Low</t>
        </is>
      </c>
      <c r="J23" s="6" t="inlineStr">
        <is>
          <t>Solution-aware</t>
        </is>
      </c>
      <c r="K23" s="6" t="inlineStr">
        <is>
          <t>MOFU</t>
        </is>
      </c>
      <c r="L23" s="6" t="inlineStr">
        <is>
          <t>iOS Eng</t>
        </is>
      </c>
      <c r="M23" s="10" t="n">
        <v>4</v>
      </c>
      <c r="N23" s="6" t="inlineStr">
        <is>
          <t>Low</t>
        </is>
      </c>
      <c r="O23" s="11" t="n">
        <v>2</v>
      </c>
      <c r="P23" s="11" t="n">
        <v>8</v>
      </c>
      <c r="Q23" s="6">
        <f>ROUND(Scoring!$B$2*(M23/5)+Scoring!$B$3*MIN(1,LOG10(H23+1)/LOG10(Scoring!$B$4+1))+IF(OR(J23="Commercial",J23="Navigational"),Scoring!$B$5,IF(J23="Solution-aware",Scoring!$B$6,Scoring!$B$7)),0)</f>
        <v/>
      </c>
      <c r="R23" s="6">
        <f>IF(Q23&gt;=Scoring!$B$8,"Tier 1",IF(Q23&gt;=Scoring!$B$9,"Tier 2","Tier 3"))</f>
        <v/>
      </c>
      <c r="S23" s="6" t="inlineStr">
        <is>
          <t>https://appetize.io/ai</t>
        </is>
      </c>
      <c r="T23" s="6" t="inlineStr"/>
    </row>
    <row r="24">
      <c r="A24" s="6" t="n">
        <v>23</v>
      </c>
      <c r="B24" s="6" t="inlineStr">
        <is>
          <t>02 Agents × Mobile (MCP / CLI)</t>
        </is>
      </c>
      <c r="C24" s="6" t="inlineStr">
        <is>
          <t>Coding Agent + Mobile</t>
        </is>
      </c>
      <c r="D24" s="6" t="inlineStr">
        <is>
          <t>claude code ios simulator</t>
        </is>
      </c>
      <c r="E24" s="6" t="inlineStr">
        <is>
          <t>Phrase</t>
        </is>
      </c>
      <c r="F24" s="7" t="n">
        <v>70</v>
      </c>
      <c r="G24" s="8" t="n"/>
      <c r="H24" s="9">
        <f>IF(G24&lt;&gt;"",G24,F24)</f>
        <v/>
      </c>
      <c r="I24" s="6" t="inlineStr">
        <is>
          <t>Low</t>
        </is>
      </c>
      <c r="J24" s="6" t="inlineStr">
        <is>
          <t>Solution-aware</t>
        </is>
      </c>
      <c r="K24" s="6" t="inlineStr">
        <is>
          <t>MOFU</t>
        </is>
      </c>
      <c r="L24" s="6" t="inlineStr">
        <is>
          <t>iOS Eng</t>
        </is>
      </c>
      <c r="M24" s="10" t="n">
        <v>5</v>
      </c>
      <c r="N24" s="6" t="inlineStr">
        <is>
          <t>Low</t>
        </is>
      </c>
      <c r="O24" s="11" t="n">
        <v>2</v>
      </c>
      <c r="P24" s="11" t="n">
        <v>8</v>
      </c>
      <c r="Q24" s="6">
        <f>ROUND(Scoring!$B$2*(M24/5)+Scoring!$B$3*MIN(1,LOG10(H24+1)/LOG10(Scoring!$B$4+1))+IF(OR(J24="Commercial",J24="Navigational"),Scoring!$B$5,IF(J24="Solution-aware",Scoring!$B$6,Scoring!$B$7)),0)</f>
        <v/>
      </c>
      <c r="R24" s="6">
        <f>IF(Q24&gt;=Scoring!$B$8,"Tier 1",IF(Q24&gt;=Scoring!$B$9,"Tier 2","Tier 3"))</f>
        <v/>
      </c>
      <c r="S24" s="6" t="inlineStr">
        <is>
          <t>https://appetize.io/ai</t>
        </is>
      </c>
      <c r="T24" s="6" t="inlineStr"/>
    </row>
    <row r="25">
      <c r="A25" s="6" t="n">
        <v>24</v>
      </c>
      <c r="B25" s="6" t="inlineStr">
        <is>
          <t>02 Agents × Mobile (MCP / CLI)</t>
        </is>
      </c>
      <c r="C25" s="6" t="inlineStr">
        <is>
          <t>Coding Agent + Mobile</t>
        </is>
      </c>
      <c r="D25" s="6" t="inlineStr">
        <is>
          <t>cursor ios development</t>
        </is>
      </c>
      <c r="E25" s="6" t="inlineStr">
        <is>
          <t>Phrase</t>
        </is>
      </c>
      <c r="F25" s="7" t="n">
        <v>210</v>
      </c>
      <c r="G25" s="8" t="n"/>
      <c r="H25" s="9">
        <f>IF(G25&lt;&gt;"",G25,F25)</f>
        <v/>
      </c>
      <c r="I25" s="6" t="inlineStr">
        <is>
          <t>Low</t>
        </is>
      </c>
      <c r="J25" s="6" t="inlineStr">
        <is>
          <t>Solution-aware</t>
        </is>
      </c>
      <c r="K25" s="6" t="inlineStr">
        <is>
          <t>MOFU</t>
        </is>
      </c>
      <c r="L25" s="6" t="inlineStr">
        <is>
          <t>iOS Eng</t>
        </is>
      </c>
      <c r="M25" s="10" t="n">
        <v>4</v>
      </c>
      <c r="N25" s="6" t="inlineStr">
        <is>
          <t>Low</t>
        </is>
      </c>
      <c r="O25" s="11" t="n">
        <v>2</v>
      </c>
      <c r="P25" s="11" t="n">
        <v>8</v>
      </c>
      <c r="Q25" s="6">
        <f>ROUND(Scoring!$B$2*(M25/5)+Scoring!$B$3*MIN(1,LOG10(H25+1)/LOG10(Scoring!$B$4+1))+IF(OR(J25="Commercial",J25="Navigational"),Scoring!$B$5,IF(J25="Solution-aware",Scoring!$B$6,Scoring!$B$7)),0)</f>
        <v/>
      </c>
      <c r="R25" s="6">
        <f>IF(Q25&gt;=Scoring!$B$8,"Tier 1",IF(Q25&gt;=Scoring!$B$9,"Tier 2","Tier 3"))</f>
        <v/>
      </c>
      <c r="S25" s="6" t="inlineStr">
        <is>
          <t>https://appetize.io/ai</t>
        </is>
      </c>
      <c r="T25" s="6" t="inlineStr"/>
    </row>
    <row r="26">
      <c r="A26" s="6" t="n">
        <v>25</v>
      </c>
      <c r="B26" s="6" t="inlineStr">
        <is>
          <t>02 Agents × Mobile (MCP / CLI)</t>
        </is>
      </c>
      <c r="C26" s="6" t="inlineStr">
        <is>
          <t>Coding Agent + Mobile</t>
        </is>
      </c>
      <c r="D26" s="6" t="inlineStr">
        <is>
          <t>cursor mobile app development</t>
        </is>
      </c>
      <c r="E26" s="6" t="inlineStr">
        <is>
          <t>Phrase</t>
        </is>
      </c>
      <c r="F26" s="7" t="n">
        <v>140</v>
      </c>
      <c r="G26" s="8" t="n"/>
      <c r="H26" s="9">
        <f>IF(G26&lt;&gt;"",G26,F26)</f>
        <v/>
      </c>
      <c r="I26" s="6" t="inlineStr">
        <is>
          <t>Low</t>
        </is>
      </c>
      <c r="J26" s="6" t="inlineStr">
        <is>
          <t>Solution-aware</t>
        </is>
      </c>
      <c r="K26" s="6" t="inlineStr">
        <is>
          <t>MOFU</t>
        </is>
      </c>
      <c r="L26" s="6" t="inlineStr">
        <is>
          <t>Mobile Eng</t>
        </is>
      </c>
      <c r="M26" s="10" t="n">
        <v>4</v>
      </c>
      <c r="N26" s="6" t="inlineStr">
        <is>
          <t>Low</t>
        </is>
      </c>
      <c r="O26" s="11" t="n">
        <v>2</v>
      </c>
      <c r="P26" s="11" t="n">
        <v>8</v>
      </c>
      <c r="Q26" s="6">
        <f>ROUND(Scoring!$B$2*(M26/5)+Scoring!$B$3*MIN(1,LOG10(H26+1)/LOG10(Scoring!$B$4+1))+IF(OR(J26="Commercial",J26="Navigational"),Scoring!$B$5,IF(J26="Solution-aware",Scoring!$B$6,Scoring!$B$7)),0)</f>
        <v/>
      </c>
      <c r="R26" s="6">
        <f>IF(Q26&gt;=Scoring!$B$8,"Tier 1",IF(Q26&gt;=Scoring!$B$9,"Tier 2","Tier 3"))</f>
        <v/>
      </c>
      <c r="S26" s="6" t="inlineStr">
        <is>
          <t>https://appetize.io/ai</t>
        </is>
      </c>
      <c r="T26" s="6" t="inlineStr"/>
    </row>
    <row r="27">
      <c r="A27" s="6" t="n">
        <v>26</v>
      </c>
      <c r="B27" s="6" t="inlineStr">
        <is>
          <t>02 Agents × Mobile (MCP / CLI)</t>
        </is>
      </c>
      <c r="C27" s="6" t="inlineStr">
        <is>
          <t>Coding Agent + Mobile</t>
        </is>
      </c>
      <c r="D27" s="6" t="inlineStr">
        <is>
          <t>codex ios development</t>
        </is>
      </c>
      <c r="E27" s="6" t="inlineStr">
        <is>
          <t>Phrase</t>
        </is>
      </c>
      <c r="F27" s="7" t="n">
        <v>90</v>
      </c>
      <c r="G27" s="8" t="n"/>
      <c r="H27" s="9">
        <f>IF(G27&lt;&gt;"",G27,F27)</f>
        <v/>
      </c>
      <c r="I27" s="6" t="inlineStr">
        <is>
          <t>Low</t>
        </is>
      </c>
      <c r="J27" s="6" t="inlineStr">
        <is>
          <t>Solution-aware</t>
        </is>
      </c>
      <c r="K27" s="6" t="inlineStr">
        <is>
          <t>MOFU</t>
        </is>
      </c>
      <c r="L27" s="6" t="inlineStr">
        <is>
          <t>iOS Eng</t>
        </is>
      </c>
      <c r="M27" s="10" t="n">
        <v>4</v>
      </c>
      <c r="N27" s="6" t="inlineStr">
        <is>
          <t>Low</t>
        </is>
      </c>
      <c r="O27" s="11" t="n">
        <v>2</v>
      </c>
      <c r="P27" s="11" t="n">
        <v>8</v>
      </c>
      <c r="Q27" s="6">
        <f>ROUND(Scoring!$B$2*(M27/5)+Scoring!$B$3*MIN(1,LOG10(H27+1)/LOG10(Scoring!$B$4+1))+IF(OR(J27="Commercial",J27="Navigational"),Scoring!$B$5,IF(J27="Solution-aware",Scoring!$B$6,Scoring!$B$7)),0)</f>
        <v/>
      </c>
      <c r="R27" s="6">
        <f>IF(Q27&gt;=Scoring!$B$8,"Tier 1",IF(Q27&gt;=Scoring!$B$9,"Tier 2","Tier 3"))</f>
        <v/>
      </c>
      <c r="S27" s="6" t="inlineStr">
        <is>
          <t>https://appetize.io/ai</t>
        </is>
      </c>
      <c r="T27" s="6" t="inlineStr"/>
    </row>
    <row r="28">
      <c r="A28" s="6" t="n">
        <v>27</v>
      </c>
      <c r="B28" s="6" t="inlineStr">
        <is>
          <t>02 Agents × Mobile (MCP / CLI)</t>
        </is>
      </c>
      <c r="C28" s="6" t="inlineStr">
        <is>
          <t>Coding Agent + Mobile</t>
        </is>
      </c>
      <c r="D28" s="6" t="inlineStr">
        <is>
          <t>ai coding agent mobile app</t>
        </is>
      </c>
      <c r="E28" s="6" t="inlineStr">
        <is>
          <t>Phrase</t>
        </is>
      </c>
      <c r="F28" s="7" t="n">
        <v>90</v>
      </c>
      <c r="G28" s="8" t="n"/>
      <c r="H28" s="9">
        <f>IF(G28&lt;&gt;"",G28,F28)</f>
        <v/>
      </c>
      <c r="I28" s="6" t="inlineStr">
        <is>
          <t>Low</t>
        </is>
      </c>
      <c r="J28" s="6" t="inlineStr">
        <is>
          <t>Solution-aware</t>
        </is>
      </c>
      <c r="K28" s="6" t="inlineStr">
        <is>
          <t>MOFU</t>
        </is>
      </c>
      <c r="L28" s="6" t="inlineStr">
        <is>
          <t>Eng Manager / Head of Mobile</t>
        </is>
      </c>
      <c r="M28" s="10" t="n">
        <v>5</v>
      </c>
      <c r="N28" s="6" t="inlineStr">
        <is>
          <t>Low</t>
        </is>
      </c>
      <c r="O28" s="11" t="n">
        <v>3</v>
      </c>
      <c r="P28" s="11" t="n">
        <v>9</v>
      </c>
      <c r="Q28" s="6">
        <f>ROUND(Scoring!$B$2*(M28/5)+Scoring!$B$3*MIN(1,LOG10(H28+1)/LOG10(Scoring!$B$4+1))+IF(OR(J28="Commercial",J28="Navigational"),Scoring!$B$5,IF(J28="Solution-aware",Scoring!$B$6,Scoring!$B$7)),0)</f>
        <v/>
      </c>
      <c r="R28" s="6">
        <f>IF(Q28&gt;=Scoring!$B$8,"Tier 1",IF(Q28&gt;=Scoring!$B$9,"Tier 2","Tier 3"))</f>
        <v/>
      </c>
      <c r="S28" s="6" t="inlineStr">
        <is>
          <t>https://appetize.io/ai</t>
        </is>
      </c>
      <c r="T28" s="6" t="inlineStr"/>
    </row>
    <row r="29">
      <c r="A29" s="6" t="n">
        <v>28</v>
      </c>
      <c r="B29" s="6" t="inlineStr">
        <is>
          <t>02 Agents × Mobile (MCP / CLI)</t>
        </is>
      </c>
      <c r="C29" s="6" t="inlineStr">
        <is>
          <t>Coding Agent + Mobile</t>
        </is>
      </c>
      <c r="D29" s="6" t="inlineStr">
        <is>
          <t>ai agents for mobile development</t>
        </is>
      </c>
      <c r="E29" s="6" t="inlineStr">
        <is>
          <t>Phrase</t>
        </is>
      </c>
      <c r="F29" s="7" t="n">
        <v>90</v>
      </c>
      <c r="G29" s="8" t="n"/>
      <c r="H29" s="9">
        <f>IF(G29&lt;&gt;"",G29,F29)</f>
        <v/>
      </c>
      <c r="I29" s="6" t="inlineStr">
        <is>
          <t>Low</t>
        </is>
      </c>
      <c r="J29" s="6" t="inlineStr">
        <is>
          <t>Solution-aware</t>
        </is>
      </c>
      <c r="K29" s="6" t="inlineStr">
        <is>
          <t>TOFU</t>
        </is>
      </c>
      <c r="L29" s="6" t="inlineStr">
        <is>
          <t>Eng Manager / Head of Mobile</t>
        </is>
      </c>
      <c r="M29" s="10" t="n">
        <v>5</v>
      </c>
      <c r="N29" s="6" t="inlineStr">
        <is>
          <t>Low</t>
        </is>
      </c>
      <c r="O29" s="11" t="n">
        <v>3</v>
      </c>
      <c r="P29" s="11" t="n">
        <v>9</v>
      </c>
      <c r="Q29" s="6">
        <f>ROUND(Scoring!$B$2*(M29/5)+Scoring!$B$3*MIN(1,LOG10(H29+1)/LOG10(Scoring!$B$4+1))+IF(OR(J29="Commercial",J29="Navigational"),Scoring!$B$5,IF(J29="Solution-aware",Scoring!$B$6,Scoring!$B$7)),0)</f>
        <v/>
      </c>
      <c r="R29" s="6">
        <f>IF(Q29&gt;=Scoring!$B$8,"Tier 1",IF(Q29&gt;=Scoring!$B$9,"Tier 2","Tier 3"))</f>
        <v/>
      </c>
      <c r="S29" s="6" t="inlineStr">
        <is>
          <t>https://appetize.io/ai</t>
        </is>
      </c>
      <c r="T29" s="6" t="inlineStr"/>
    </row>
    <row r="30">
      <c r="A30" s="6" t="n">
        <v>29</v>
      </c>
      <c r="B30" s="6" t="inlineStr">
        <is>
          <t>02 Agents × Mobile (MCP / CLI)</t>
        </is>
      </c>
      <c r="C30" s="6" t="inlineStr">
        <is>
          <t>Coding Agent + Mobile</t>
        </is>
      </c>
      <c r="D30" s="6" t="inlineStr">
        <is>
          <t>devin mobile app</t>
        </is>
      </c>
      <c r="E30" s="6" t="inlineStr">
        <is>
          <t>Phrase</t>
        </is>
      </c>
      <c r="F30" s="7" t="n">
        <v>30</v>
      </c>
      <c r="G30" s="8" t="n"/>
      <c r="H30" s="9">
        <f>IF(G30&lt;&gt;"",G30,F30)</f>
        <v/>
      </c>
      <c r="I30" s="6" t="inlineStr">
        <is>
          <t>Low</t>
        </is>
      </c>
      <c r="J30" s="6" t="inlineStr">
        <is>
          <t>Solution-aware</t>
        </is>
      </c>
      <c r="K30" s="6" t="inlineStr">
        <is>
          <t>MOFU</t>
        </is>
      </c>
      <c r="L30" s="6" t="inlineStr">
        <is>
          <t>Eng Manager / Head of Mobile</t>
        </is>
      </c>
      <c r="M30" s="10" t="n">
        <v>4</v>
      </c>
      <c r="N30" s="6" t="inlineStr">
        <is>
          <t>Low</t>
        </is>
      </c>
      <c r="O30" s="11" t="n">
        <v>2</v>
      </c>
      <c r="P30" s="11" t="n">
        <v>7</v>
      </c>
      <c r="Q30" s="6">
        <f>ROUND(Scoring!$B$2*(M30/5)+Scoring!$B$3*MIN(1,LOG10(H30+1)/LOG10(Scoring!$B$4+1))+IF(OR(J30="Commercial",J30="Navigational"),Scoring!$B$5,IF(J30="Solution-aware",Scoring!$B$6,Scoring!$B$7)),0)</f>
        <v/>
      </c>
      <c r="R30" s="6">
        <f>IF(Q30&gt;=Scoring!$B$8,"Tier 1",IF(Q30&gt;=Scoring!$B$9,"Tier 2","Tier 3"))</f>
        <v/>
      </c>
      <c r="S30" s="6" t="inlineStr">
        <is>
          <t>https://appetize.io/ai</t>
        </is>
      </c>
      <c r="T30" s="6" t="inlineStr"/>
    </row>
    <row r="31">
      <c r="A31" s="6" t="n">
        <v>30</v>
      </c>
      <c r="B31" s="6" t="inlineStr">
        <is>
          <t>02 Agents × Mobile (MCP / CLI)</t>
        </is>
      </c>
      <c r="C31" s="6" t="inlineStr">
        <is>
          <t>Coding Agent + Mobile</t>
        </is>
      </c>
      <c r="D31" s="6" t="inlineStr">
        <is>
          <t>copilot coding agent ios</t>
        </is>
      </c>
      <c r="E31" s="6" t="inlineStr">
        <is>
          <t>Phrase</t>
        </is>
      </c>
      <c r="F31" s="7" t="n">
        <v>30</v>
      </c>
      <c r="G31" s="8" t="n"/>
      <c r="H31" s="9">
        <f>IF(G31&lt;&gt;"",G31,F31)</f>
        <v/>
      </c>
      <c r="I31" s="6" t="inlineStr">
        <is>
          <t>Low</t>
        </is>
      </c>
      <c r="J31" s="6" t="inlineStr">
        <is>
          <t>Solution-aware</t>
        </is>
      </c>
      <c r="K31" s="6" t="inlineStr">
        <is>
          <t>MOFU</t>
        </is>
      </c>
      <c r="L31" s="6" t="inlineStr">
        <is>
          <t>iOS Eng</t>
        </is>
      </c>
      <c r="M31" s="10" t="n">
        <v>4</v>
      </c>
      <c r="N31" s="6" t="inlineStr">
        <is>
          <t>Low</t>
        </is>
      </c>
      <c r="O31" s="11" t="n">
        <v>2</v>
      </c>
      <c r="P31" s="11" t="n">
        <v>7</v>
      </c>
      <c r="Q31" s="6">
        <f>ROUND(Scoring!$B$2*(M31/5)+Scoring!$B$3*MIN(1,LOG10(H31+1)/LOG10(Scoring!$B$4+1))+IF(OR(J31="Commercial",J31="Navigational"),Scoring!$B$5,IF(J31="Solution-aware",Scoring!$B$6,Scoring!$B$7)),0)</f>
        <v/>
      </c>
      <c r="R31" s="6">
        <f>IF(Q31&gt;=Scoring!$B$8,"Tier 1",IF(Q31&gt;=Scoring!$B$9,"Tier 2","Tier 3"))</f>
        <v/>
      </c>
      <c r="S31" s="6" t="inlineStr">
        <is>
          <t>https://appetize.io/ai</t>
        </is>
      </c>
      <c r="T31" s="6" t="inlineStr"/>
    </row>
    <row r="32">
      <c r="A32" s="6" t="n">
        <v>31</v>
      </c>
      <c r="B32" s="6" t="inlineStr">
        <is>
          <t>02 Agents × Mobile (MCP / CLI)</t>
        </is>
      </c>
      <c r="C32" s="6" t="inlineStr">
        <is>
          <t>Agent Sandbox / Infra</t>
        </is>
      </c>
      <c r="D32" s="6" t="inlineStr">
        <is>
          <t>ai agent sandbox</t>
        </is>
      </c>
      <c r="E32" s="6" t="inlineStr">
        <is>
          <t>Phrase</t>
        </is>
      </c>
      <c r="F32" s="7" t="n">
        <v>480</v>
      </c>
      <c r="G32" s="8" t="n"/>
      <c r="H32" s="9">
        <f>IF(G32&lt;&gt;"",G32,F32)</f>
        <v/>
      </c>
      <c r="I32" s="6" t="inlineStr">
        <is>
          <t>Medium</t>
        </is>
      </c>
      <c r="J32" s="6" t="inlineStr">
        <is>
          <t>Commercial</t>
        </is>
      </c>
      <c r="K32" s="6" t="inlineStr">
        <is>
          <t>MOFU</t>
        </is>
      </c>
      <c r="L32" s="6" t="inlineStr">
        <is>
          <t>AI / Agent Platform Eng</t>
        </is>
      </c>
      <c r="M32" s="10" t="n">
        <v>4</v>
      </c>
      <c r="N32" s="6" t="inlineStr">
        <is>
          <t>Medium</t>
        </is>
      </c>
      <c r="O32" s="11" t="n">
        <v>4</v>
      </c>
      <c r="P32" s="11" t="n">
        <v>12</v>
      </c>
      <c r="Q32" s="6">
        <f>ROUND(Scoring!$B$2*(M32/5)+Scoring!$B$3*MIN(1,LOG10(H32+1)/LOG10(Scoring!$B$4+1))+IF(OR(J32="Commercial",J32="Navigational"),Scoring!$B$5,IF(J32="Solution-aware",Scoring!$B$6,Scoring!$B$7)),0)</f>
        <v/>
      </c>
      <c r="R32" s="6">
        <f>IF(Q32&gt;=Scoring!$B$8,"Tier 1",IF(Q32&gt;=Scoring!$B$9,"Tier 2","Tier 3"))</f>
        <v/>
      </c>
      <c r="S32" s="6" t="inlineStr">
        <is>
          <t>https://appetize.io/ai</t>
        </is>
      </c>
      <c r="T32" s="6" t="inlineStr">
        <is>
          <t>Dominated by code sandboxes (E2B, Daytona); qualify with 'mobile' in ads</t>
        </is>
      </c>
    </row>
    <row r="33">
      <c r="A33" s="6" t="n">
        <v>32</v>
      </c>
      <c r="B33" s="6" t="inlineStr">
        <is>
          <t>02 Agents × Mobile (MCP / CLI)</t>
        </is>
      </c>
      <c r="C33" s="6" t="inlineStr">
        <is>
          <t>Agent Sandbox / Infra</t>
        </is>
      </c>
      <c r="D33" s="6" t="inlineStr">
        <is>
          <t>sandbox for ai agents</t>
        </is>
      </c>
      <c r="E33" s="6" t="inlineStr">
        <is>
          <t>Phrase</t>
        </is>
      </c>
      <c r="F33" s="7" t="n">
        <v>260</v>
      </c>
      <c r="G33" s="8" t="n"/>
      <c r="H33" s="9">
        <f>IF(G33&lt;&gt;"",G33,F33)</f>
        <v/>
      </c>
      <c r="I33" s="6" t="inlineStr">
        <is>
          <t>Low</t>
        </is>
      </c>
      <c r="J33" s="6" t="inlineStr">
        <is>
          <t>Commercial</t>
        </is>
      </c>
      <c r="K33" s="6" t="inlineStr">
        <is>
          <t>MOFU</t>
        </is>
      </c>
      <c r="L33" s="6" t="inlineStr">
        <is>
          <t>AI / Agent Platform Eng</t>
        </is>
      </c>
      <c r="M33" s="10" t="n">
        <v>4</v>
      </c>
      <c r="N33" s="6" t="inlineStr">
        <is>
          <t>Medium</t>
        </is>
      </c>
      <c r="O33" s="11" t="n">
        <v>4</v>
      </c>
      <c r="P33" s="11" t="n">
        <v>12</v>
      </c>
      <c r="Q33" s="6">
        <f>ROUND(Scoring!$B$2*(M33/5)+Scoring!$B$3*MIN(1,LOG10(H33+1)/LOG10(Scoring!$B$4+1))+IF(OR(J33="Commercial",J33="Navigational"),Scoring!$B$5,IF(J33="Solution-aware",Scoring!$B$6,Scoring!$B$7)),0)</f>
        <v/>
      </c>
      <c r="R33" s="6">
        <f>IF(Q33&gt;=Scoring!$B$8,"Tier 1",IF(Q33&gt;=Scoring!$B$9,"Tier 2","Tier 3"))</f>
        <v/>
      </c>
      <c r="S33" s="6" t="inlineStr">
        <is>
          <t>https://appetize.io/ai</t>
        </is>
      </c>
      <c r="T33" s="6" t="inlineStr"/>
    </row>
    <row r="34">
      <c r="A34" s="6" t="n">
        <v>33</v>
      </c>
      <c r="B34" s="6" t="inlineStr">
        <is>
          <t>02 Agents × Mobile (MCP / CLI)</t>
        </is>
      </c>
      <c r="C34" s="6" t="inlineStr">
        <is>
          <t>Agent Sandbox / Infra</t>
        </is>
      </c>
      <c r="D34" s="6" t="inlineStr">
        <is>
          <t>mobile sandbox for ai agents</t>
        </is>
      </c>
      <c r="E34" s="6" t="inlineStr">
        <is>
          <t>Phrase</t>
        </is>
      </c>
      <c r="F34" s="7" t="n">
        <v>20</v>
      </c>
      <c r="G34" s="8" t="n"/>
      <c r="H34" s="9">
        <f>IF(G34&lt;&gt;"",G34,F34)</f>
        <v/>
      </c>
      <c r="I34" s="6" t="inlineStr">
        <is>
          <t>Low</t>
        </is>
      </c>
      <c r="J34" s="6" t="inlineStr">
        <is>
          <t>Commercial</t>
        </is>
      </c>
      <c r="K34" s="6" t="inlineStr">
        <is>
          <t>BOFU</t>
        </is>
      </c>
      <c r="L34" s="6" t="inlineStr">
        <is>
          <t>AI / Agent Platform Eng</t>
        </is>
      </c>
      <c r="M34" s="10" t="n">
        <v>5</v>
      </c>
      <c r="N34" s="6" t="inlineStr">
        <is>
          <t>Low</t>
        </is>
      </c>
      <c r="O34" s="11" t="n">
        <v>3</v>
      </c>
      <c r="P34" s="11" t="n">
        <v>10</v>
      </c>
      <c r="Q34" s="6">
        <f>ROUND(Scoring!$B$2*(M34/5)+Scoring!$B$3*MIN(1,LOG10(H34+1)/LOG10(Scoring!$B$4+1))+IF(OR(J34="Commercial",J34="Navigational"),Scoring!$B$5,IF(J34="Solution-aware",Scoring!$B$6,Scoring!$B$7)),0)</f>
        <v/>
      </c>
      <c r="R34" s="6">
        <f>IF(Q34&gt;=Scoring!$B$8,"Tier 1",IF(Q34&gt;=Scoring!$B$9,"Tier 2","Tier 3"))</f>
        <v/>
      </c>
      <c r="S34" s="6" t="inlineStr">
        <is>
          <t>https://appetize.io/ai</t>
        </is>
      </c>
      <c r="T34" s="6" t="inlineStr">
        <is>
          <t>Mirrors Appetize headline</t>
        </is>
      </c>
    </row>
    <row r="35">
      <c r="A35" s="6" t="n">
        <v>34</v>
      </c>
      <c r="B35" s="6" t="inlineStr">
        <is>
          <t>02 Agents × Mobile (MCP / CLI)</t>
        </is>
      </c>
      <c r="C35" s="6" t="inlineStr">
        <is>
          <t>Agent Sandbox / Infra</t>
        </is>
      </c>
      <c r="D35" s="6" t="inlineStr">
        <is>
          <t>ai agent mobile app testing</t>
        </is>
      </c>
      <c r="E35" s="6" t="inlineStr">
        <is>
          <t>Phrase</t>
        </is>
      </c>
      <c r="F35" s="7" t="n">
        <v>70</v>
      </c>
      <c r="G35" s="8" t="n"/>
      <c r="H35" s="9">
        <f>IF(G35&lt;&gt;"",G35,F35)</f>
        <v/>
      </c>
      <c r="I35" s="6" t="inlineStr">
        <is>
          <t>Low</t>
        </is>
      </c>
      <c r="J35" s="6" t="inlineStr">
        <is>
          <t>Commercial</t>
        </is>
      </c>
      <c r="K35" s="6" t="inlineStr">
        <is>
          <t>MOFU</t>
        </is>
      </c>
      <c r="L35" s="6" t="inlineStr">
        <is>
          <t>AI / Agent Platform Eng</t>
        </is>
      </c>
      <c r="M35" s="10" t="n">
        <v>5</v>
      </c>
      <c r="N35" s="6" t="inlineStr">
        <is>
          <t>Low</t>
        </is>
      </c>
      <c r="O35" s="11" t="n">
        <v>3</v>
      </c>
      <c r="P35" s="11" t="n">
        <v>10</v>
      </c>
      <c r="Q35" s="6">
        <f>ROUND(Scoring!$B$2*(M35/5)+Scoring!$B$3*MIN(1,LOG10(H35+1)/LOG10(Scoring!$B$4+1))+IF(OR(J35="Commercial",J35="Navigational"),Scoring!$B$5,IF(J35="Solution-aware",Scoring!$B$6,Scoring!$B$7)),0)</f>
        <v/>
      </c>
      <c r="R35" s="6">
        <f>IF(Q35&gt;=Scoring!$B$8,"Tier 1",IF(Q35&gt;=Scoring!$B$9,"Tier 2","Tier 3"))</f>
        <v/>
      </c>
      <c r="S35" s="6" t="inlineStr">
        <is>
          <t>https://appetize.io/ai</t>
        </is>
      </c>
      <c r="T35" s="6" t="inlineStr"/>
    </row>
    <row r="36">
      <c r="A36" s="6" t="n">
        <v>35</v>
      </c>
      <c r="B36" s="6" t="inlineStr">
        <is>
          <t>02 Agents × Mobile (MCP / CLI)</t>
        </is>
      </c>
      <c r="C36" s="6" t="inlineStr">
        <is>
          <t>Agent Sandbox / Infra</t>
        </is>
      </c>
      <c r="D36" s="6" t="inlineStr">
        <is>
          <t>ai agent control android</t>
        </is>
      </c>
      <c r="E36" s="6" t="inlineStr">
        <is>
          <t>Phrase</t>
        </is>
      </c>
      <c r="F36" s="7" t="n">
        <v>50</v>
      </c>
      <c r="G36" s="8" t="n"/>
      <c r="H36" s="9">
        <f>IF(G36&lt;&gt;"",G36,F36)</f>
        <v/>
      </c>
      <c r="I36" s="6" t="inlineStr">
        <is>
          <t>Low</t>
        </is>
      </c>
      <c r="J36" s="6" t="inlineStr">
        <is>
          <t>Solution-aware</t>
        </is>
      </c>
      <c r="K36" s="6" t="inlineStr">
        <is>
          <t>TOFU</t>
        </is>
      </c>
      <c r="L36" s="6" t="inlineStr">
        <is>
          <t>AI / Agent Platform Eng</t>
        </is>
      </c>
      <c r="M36" s="10" t="n">
        <v>4</v>
      </c>
      <c r="N36" s="6" t="inlineStr">
        <is>
          <t>Low</t>
        </is>
      </c>
      <c r="O36" s="11" t="n">
        <v>2</v>
      </c>
      <c r="P36" s="11" t="n">
        <v>7</v>
      </c>
      <c r="Q36" s="6">
        <f>ROUND(Scoring!$B$2*(M36/5)+Scoring!$B$3*MIN(1,LOG10(H36+1)/LOG10(Scoring!$B$4+1))+IF(OR(J36="Commercial",J36="Navigational"),Scoring!$B$5,IF(J36="Solution-aware",Scoring!$B$6,Scoring!$B$7)),0)</f>
        <v/>
      </c>
      <c r="R36" s="6">
        <f>IF(Q36&gt;=Scoring!$B$8,"Tier 1",IF(Q36&gt;=Scoring!$B$9,"Tier 2","Tier 3"))</f>
        <v/>
      </c>
      <c r="S36" s="6" t="inlineStr">
        <is>
          <t>https://appetize.io/ai</t>
        </is>
      </c>
      <c r="T36" s="6" t="inlineStr"/>
    </row>
    <row r="37">
      <c r="A37" s="6" t="n">
        <v>36</v>
      </c>
      <c r="B37" s="6" t="inlineStr">
        <is>
          <t>02 Agents × Mobile (MCP / CLI)</t>
        </is>
      </c>
      <c r="C37" s="6" t="inlineStr">
        <is>
          <t>Agent Sandbox / Infra</t>
        </is>
      </c>
      <c r="D37" s="6" t="inlineStr">
        <is>
          <t>computer use agent mobile</t>
        </is>
      </c>
      <c r="E37" s="6" t="inlineStr">
        <is>
          <t>Phrase</t>
        </is>
      </c>
      <c r="F37" s="7" t="n">
        <v>30</v>
      </c>
      <c r="G37" s="8" t="n"/>
      <c r="H37" s="9">
        <f>IF(G37&lt;&gt;"",G37,F37)</f>
        <v/>
      </c>
      <c r="I37" s="6" t="inlineStr">
        <is>
          <t>Low</t>
        </is>
      </c>
      <c r="J37" s="6" t="inlineStr">
        <is>
          <t>Solution-aware</t>
        </is>
      </c>
      <c r="K37" s="6" t="inlineStr">
        <is>
          <t>TOFU</t>
        </is>
      </c>
      <c r="L37" s="6" t="inlineStr">
        <is>
          <t>AI / Agent Platform Eng</t>
        </is>
      </c>
      <c r="M37" s="10" t="n">
        <v>4</v>
      </c>
      <c r="N37" s="6" t="inlineStr">
        <is>
          <t>Low</t>
        </is>
      </c>
      <c r="O37" s="11" t="n">
        <v>2</v>
      </c>
      <c r="P37" s="11" t="n">
        <v>7</v>
      </c>
      <c r="Q37" s="6">
        <f>ROUND(Scoring!$B$2*(M37/5)+Scoring!$B$3*MIN(1,LOG10(H37+1)/LOG10(Scoring!$B$4+1))+IF(OR(J37="Commercial",J37="Navigational"),Scoring!$B$5,IF(J37="Solution-aware",Scoring!$B$6,Scoring!$B$7)),0)</f>
        <v/>
      </c>
      <c r="R37" s="6">
        <f>IF(Q37&gt;=Scoring!$B$8,"Tier 1",IF(Q37&gt;=Scoring!$B$9,"Tier 2","Tier 3"))</f>
        <v/>
      </c>
      <c r="S37" s="6" t="inlineStr">
        <is>
          <t>https://appetize.io/ai</t>
        </is>
      </c>
      <c r="T37" s="6" t="inlineStr"/>
    </row>
    <row r="38">
      <c r="A38" s="6" t="n">
        <v>37</v>
      </c>
      <c r="B38" s="6" t="inlineStr">
        <is>
          <t>02 Agents × Mobile (MCP / CLI)</t>
        </is>
      </c>
      <c r="C38" s="6" t="inlineStr">
        <is>
          <t>Agent Sandbox / Infra</t>
        </is>
      </c>
      <c r="D38" s="6" t="inlineStr">
        <is>
          <t>simulators for ai agents</t>
        </is>
      </c>
      <c r="E38" s="6" t="inlineStr">
        <is>
          <t>Phrase</t>
        </is>
      </c>
      <c r="F38" s="7" t="n">
        <v>20</v>
      </c>
      <c r="G38" s="8" t="n"/>
      <c r="H38" s="9">
        <f>IF(G38&lt;&gt;"",G38,F38)</f>
        <v/>
      </c>
      <c r="I38" s="6" t="inlineStr">
        <is>
          <t>Low</t>
        </is>
      </c>
      <c r="J38" s="6" t="inlineStr">
        <is>
          <t>Commercial</t>
        </is>
      </c>
      <c r="K38" s="6" t="inlineStr">
        <is>
          <t>BOFU</t>
        </is>
      </c>
      <c r="L38" s="6" t="inlineStr">
        <is>
          <t>AI / Agent Platform Eng</t>
        </is>
      </c>
      <c r="M38" s="10" t="n">
        <v>5</v>
      </c>
      <c r="N38" s="6" t="inlineStr">
        <is>
          <t>Low</t>
        </is>
      </c>
      <c r="O38" s="11" t="n">
        <v>3</v>
      </c>
      <c r="P38" s="11" t="n">
        <v>10</v>
      </c>
      <c r="Q38" s="6">
        <f>ROUND(Scoring!$B$2*(M38/5)+Scoring!$B$3*MIN(1,LOG10(H38+1)/LOG10(Scoring!$B$4+1))+IF(OR(J38="Commercial",J38="Navigational"),Scoring!$B$5,IF(J38="Solution-aware",Scoring!$B$6,Scoring!$B$7)),0)</f>
        <v/>
      </c>
      <c r="R38" s="6">
        <f>IF(Q38&gt;=Scoring!$B$8,"Tier 1",IF(Q38&gt;=Scoring!$B$9,"Tier 2","Tier 3"))</f>
        <v/>
      </c>
      <c r="S38" s="6" t="inlineStr">
        <is>
          <t>https://appetize.io/ai</t>
        </is>
      </c>
      <c r="T38" s="6" t="inlineStr">
        <is>
          <t>Expo's headline term</t>
        </is>
      </c>
    </row>
    <row r="39">
      <c r="A39" s="6" t="n">
        <v>38</v>
      </c>
      <c r="B39" s="6" t="inlineStr">
        <is>
          <t>03 Cloud Simulators for Dev &amp; CI</t>
        </is>
      </c>
      <c r="C39" s="6" t="inlineStr">
        <is>
          <t>Cloud iOS Simulator</t>
        </is>
      </c>
      <c r="D39" s="6" t="inlineStr">
        <is>
          <t>ios simulator online</t>
        </is>
      </c>
      <c r="E39" s="6" t="inlineStr">
        <is>
          <t>Phrase</t>
        </is>
      </c>
      <c r="F39" s="7" t="n">
        <v>1600</v>
      </c>
      <c r="G39" s="8" t="n"/>
      <c r="H39" s="9">
        <f>IF(G39&lt;&gt;"",G39,F39)</f>
        <v/>
      </c>
      <c r="I39" s="6" t="inlineStr">
        <is>
          <t>Medium</t>
        </is>
      </c>
      <c r="J39" s="6" t="inlineStr">
        <is>
          <t>Commercial</t>
        </is>
      </c>
      <c r="K39" s="6" t="inlineStr">
        <is>
          <t>MOFU</t>
        </is>
      </c>
      <c r="L39" s="6" t="inlineStr">
        <is>
          <t>Mobile Eng / QA</t>
        </is>
      </c>
      <c r="M39" s="10" t="n">
        <v>4</v>
      </c>
      <c r="N39" s="6" t="inlineStr">
        <is>
          <t>Medium</t>
        </is>
      </c>
      <c r="O39" s="11" t="n">
        <v>2</v>
      </c>
      <c r="P39" s="11" t="n">
        <v>7</v>
      </c>
      <c r="Q39" s="6">
        <f>ROUND(Scoring!$B$2*(M39/5)+Scoring!$B$3*MIN(1,LOG10(H39+1)/LOG10(Scoring!$B$4+1))+IF(OR(J39="Commercial",J39="Navigational"),Scoring!$B$5,IF(J39="Solution-aware",Scoring!$B$6,Scoring!$B$7)),0)</f>
        <v/>
      </c>
      <c r="R39" s="6">
        <f>IF(Q39&gt;=Scoring!$B$8,"Tier 1",IF(Q39&gt;=Scoring!$B$9,"Tier 2","Tier 3"))</f>
        <v/>
      </c>
      <c r="S39" s="6" t="inlineStr">
        <is>
          <t>https://appetize.io/ai</t>
        </is>
      </c>
      <c r="T39" s="6" t="inlineStr">
        <is>
          <t>Mixed with consumers; heavy negatives required</t>
        </is>
      </c>
    </row>
    <row r="40">
      <c r="A40" s="6" t="n">
        <v>39</v>
      </c>
      <c r="B40" s="6" t="inlineStr">
        <is>
          <t>03 Cloud Simulators for Dev &amp; CI</t>
        </is>
      </c>
      <c r="C40" s="6" t="inlineStr">
        <is>
          <t>Cloud iOS Simulator</t>
        </is>
      </c>
      <c r="D40" s="6" t="inlineStr">
        <is>
          <t>cloud ios simulator</t>
        </is>
      </c>
      <c r="E40" s="6" t="inlineStr">
        <is>
          <t>Phrase</t>
        </is>
      </c>
      <c r="F40" s="7" t="n">
        <v>90</v>
      </c>
      <c r="G40" s="8" t="n"/>
      <c r="H40" s="9">
        <f>IF(G40&lt;&gt;"",G40,F40)</f>
        <v/>
      </c>
      <c r="I40" s="6" t="inlineStr">
        <is>
          <t>Low</t>
        </is>
      </c>
      <c r="J40" s="6" t="inlineStr">
        <is>
          <t>Commercial</t>
        </is>
      </c>
      <c r="K40" s="6" t="inlineStr">
        <is>
          <t>BOFU</t>
        </is>
      </c>
      <c r="L40" s="6" t="inlineStr">
        <is>
          <t>Platform / DevEx</t>
        </is>
      </c>
      <c r="M40" s="10" t="n">
        <v>5</v>
      </c>
      <c r="N40" s="6" t="inlineStr">
        <is>
          <t>Low</t>
        </is>
      </c>
      <c r="O40" s="11" t="n">
        <v>3</v>
      </c>
      <c r="P40" s="11" t="n">
        <v>9</v>
      </c>
      <c r="Q40" s="6">
        <f>ROUND(Scoring!$B$2*(M40/5)+Scoring!$B$3*MIN(1,LOG10(H40+1)/LOG10(Scoring!$B$4+1))+IF(OR(J40="Commercial",J40="Navigational"),Scoring!$B$5,IF(J40="Solution-aware",Scoring!$B$6,Scoring!$B$7)),0)</f>
        <v/>
      </c>
      <c r="R40" s="6">
        <f>IF(Q40&gt;=Scoring!$B$8,"Tier 1",IF(Q40&gt;=Scoring!$B$9,"Tier 2","Tier 3"))</f>
        <v/>
      </c>
      <c r="S40" s="6" t="inlineStr">
        <is>
          <t>https://appetize.io/ai</t>
        </is>
      </c>
      <c r="T40" s="6" t="inlineStr"/>
    </row>
    <row r="41">
      <c r="A41" s="6" t="n">
        <v>40</v>
      </c>
      <c r="B41" s="6" t="inlineStr">
        <is>
          <t>03 Cloud Simulators for Dev &amp; CI</t>
        </is>
      </c>
      <c r="C41" s="6" t="inlineStr">
        <is>
          <t>Cloud iOS Simulator</t>
        </is>
      </c>
      <c r="D41" s="6" t="inlineStr">
        <is>
          <t>remote ios simulator</t>
        </is>
      </c>
      <c r="E41" s="6" t="inlineStr">
        <is>
          <t>Phrase</t>
        </is>
      </c>
      <c r="F41" s="7" t="n">
        <v>70</v>
      </c>
      <c r="G41" s="8" t="n"/>
      <c r="H41" s="9">
        <f>IF(G41&lt;&gt;"",G41,F41)</f>
        <v/>
      </c>
      <c r="I41" s="6" t="inlineStr">
        <is>
          <t>Low</t>
        </is>
      </c>
      <c r="J41" s="6" t="inlineStr">
        <is>
          <t>Commercial</t>
        </is>
      </c>
      <c r="K41" s="6" t="inlineStr">
        <is>
          <t>BOFU</t>
        </is>
      </c>
      <c r="L41" s="6" t="inlineStr">
        <is>
          <t>Platform / DevEx</t>
        </is>
      </c>
      <c r="M41" s="10" t="n">
        <v>5</v>
      </c>
      <c r="N41" s="6" t="inlineStr">
        <is>
          <t>Low</t>
        </is>
      </c>
      <c r="O41" s="11" t="n">
        <v>3</v>
      </c>
      <c r="P41" s="11" t="n">
        <v>9</v>
      </c>
      <c r="Q41" s="6">
        <f>ROUND(Scoring!$B$2*(M41/5)+Scoring!$B$3*MIN(1,LOG10(H41+1)/LOG10(Scoring!$B$4+1))+IF(OR(J41="Commercial",J41="Navigational"),Scoring!$B$5,IF(J41="Solution-aware",Scoring!$B$6,Scoring!$B$7)),0)</f>
        <v/>
      </c>
      <c r="R41" s="6">
        <f>IF(Q41&gt;=Scoring!$B$8,"Tier 1",IF(Q41&gt;=Scoring!$B$9,"Tier 2","Tier 3"))</f>
        <v/>
      </c>
      <c r="S41" s="6" t="inlineStr">
        <is>
          <t>https://appetize.io/ai</t>
        </is>
      </c>
      <c r="T41" s="6" t="inlineStr"/>
    </row>
    <row r="42">
      <c r="A42" s="6" t="n">
        <v>41</v>
      </c>
      <c r="B42" s="6" t="inlineStr">
        <is>
          <t>03 Cloud Simulators for Dev &amp; CI</t>
        </is>
      </c>
      <c r="C42" s="6" t="inlineStr">
        <is>
          <t>Cloud iOS Simulator</t>
        </is>
      </c>
      <c r="D42" s="6" t="inlineStr">
        <is>
          <t>ios simulator in browser</t>
        </is>
      </c>
      <c r="E42" s="6" t="inlineStr">
        <is>
          <t>Phrase</t>
        </is>
      </c>
      <c r="F42" s="7" t="n">
        <v>140</v>
      </c>
      <c r="G42" s="8" t="n"/>
      <c r="H42" s="9">
        <f>IF(G42&lt;&gt;"",G42,F42)</f>
        <v/>
      </c>
      <c r="I42" s="6" t="inlineStr">
        <is>
          <t>Low</t>
        </is>
      </c>
      <c r="J42" s="6" t="inlineStr">
        <is>
          <t>Commercial</t>
        </is>
      </c>
      <c r="K42" s="6" t="inlineStr">
        <is>
          <t>MOFU</t>
        </is>
      </c>
      <c r="L42" s="6" t="inlineStr">
        <is>
          <t>Mobile Eng / QA</t>
        </is>
      </c>
      <c r="M42" s="10" t="n">
        <v>4</v>
      </c>
      <c r="N42" s="6" t="inlineStr">
        <is>
          <t>Low</t>
        </is>
      </c>
      <c r="O42" s="11" t="n">
        <v>2</v>
      </c>
      <c r="P42" s="11" t="n">
        <v>6</v>
      </c>
      <c r="Q42" s="6">
        <f>ROUND(Scoring!$B$2*(M42/5)+Scoring!$B$3*MIN(1,LOG10(H42+1)/LOG10(Scoring!$B$4+1))+IF(OR(J42="Commercial",J42="Navigational"),Scoring!$B$5,IF(J42="Solution-aware",Scoring!$B$6,Scoring!$B$7)),0)</f>
        <v/>
      </c>
      <c r="R42" s="6">
        <f>IF(Q42&gt;=Scoring!$B$8,"Tier 1",IF(Q42&gt;=Scoring!$B$9,"Tier 2","Tier 3"))</f>
        <v/>
      </c>
      <c r="S42" s="6" t="inlineStr">
        <is>
          <t>https://appetize.io/ai</t>
        </is>
      </c>
      <c r="T42" s="6" t="inlineStr"/>
    </row>
    <row r="43">
      <c r="A43" s="6" t="n">
        <v>42</v>
      </c>
      <c r="B43" s="6" t="inlineStr">
        <is>
          <t>03 Cloud Simulators for Dev &amp; CI</t>
        </is>
      </c>
      <c r="C43" s="6" t="inlineStr">
        <is>
          <t>Cloud iOS Simulator</t>
        </is>
      </c>
      <c r="D43" s="6" t="inlineStr">
        <is>
          <t>ios simulator api</t>
        </is>
      </c>
      <c r="E43" s="6" t="inlineStr">
        <is>
          <t>Phrase</t>
        </is>
      </c>
      <c r="F43" s="7" t="n">
        <v>50</v>
      </c>
      <c r="G43" s="8" t="n"/>
      <c r="H43" s="9">
        <f>IF(G43&lt;&gt;"",G43,F43)</f>
        <v/>
      </c>
      <c r="I43" s="6" t="inlineStr">
        <is>
          <t>Low</t>
        </is>
      </c>
      <c r="J43" s="6" t="inlineStr">
        <is>
          <t>Commercial</t>
        </is>
      </c>
      <c r="K43" s="6" t="inlineStr">
        <is>
          <t>BOFU</t>
        </is>
      </c>
      <c r="L43" s="6" t="inlineStr">
        <is>
          <t>Platform / DevEx</t>
        </is>
      </c>
      <c r="M43" s="10" t="n">
        <v>5</v>
      </c>
      <c r="N43" s="6" t="inlineStr">
        <is>
          <t>Low</t>
        </is>
      </c>
      <c r="O43" s="11" t="n">
        <v>3</v>
      </c>
      <c r="P43" s="11" t="n">
        <v>9</v>
      </c>
      <c r="Q43" s="6">
        <f>ROUND(Scoring!$B$2*(M43/5)+Scoring!$B$3*MIN(1,LOG10(H43+1)/LOG10(Scoring!$B$4+1))+IF(OR(J43="Commercial",J43="Navigational"),Scoring!$B$5,IF(J43="Solution-aware",Scoring!$B$6,Scoring!$B$7)),0)</f>
        <v/>
      </c>
      <c r="R43" s="6">
        <f>IF(Q43&gt;=Scoring!$B$8,"Tier 1",IF(Q43&gt;=Scoring!$B$9,"Tier 2","Tier 3"))</f>
        <v/>
      </c>
      <c r="S43" s="6" t="inlineStr">
        <is>
          <t>https://appetize.io/ai</t>
        </is>
      </c>
      <c r="T43" s="6" t="inlineStr"/>
    </row>
    <row r="44">
      <c r="A44" s="6" t="n">
        <v>43</v>
      </c>
      <c r="B44" s="6" t="inlineStr">
        <is>
          <t>03 Cloud Simulators for Dev &amp; CI</t>
        </is>
      </c>
      <c r="C44" s="6" t="inlineStr">
        <is>
          <t>Cloud iOS Simulator</t>
        </is>
      </c>
      <c r="D44" s="6" t="inlineStr">
        <is>
          <t>ios simulator linux</t>
        </is>
      </c>
      <c r="E44" s="6" t="inlineStr">
        <is>
          <t>Phrase</t>
        </is>
      </c>
      <c r="F44" s="7" t="n">
        <v>110</v>
      </c>
      <c r="G44" s="8" t="n"/>
      <c r="H44" s="9">
        <f>IF(G44&lt;&gt;"",G44,F44)</f>
        <v/>
      </c>
      <c r="I44" s="6" t="inlineStr">
        <is>
          <t>Low</t>
        </is>
      </c>
      <c r="J44" s="6" t="inlineStr">
        <is>
          <t>Solution-aware</t>
        </is>
      </c>
      <c r="K44" s="6" t="inlineStr">
        <is>
          <t>MOFU</t>
        </is>
      </c>
      <c r="L44" s="6" t="inlineStr">
        <is>
          <t>Platform / DevEx</t>
        </is>
      </c>
      <c r="M44" s="10" t="n">
        <v>5</v>
      </c>
      <c r="N44" s="6" t="inlineStr">
        <is>
          <t>Low</t>
        </is>
      </c>
      <c r="O44" s="11" t="n">
        <v>2</v>
      </c>
      <c r="P44" s="11" t="n">
        <v>7</v>
      </c>
      <c r="Q44" s="6">
        <f>ROUND(Scoring!$B$2*(M44/5)+Scoring!$B$3*MIN(1,LOG10(H44+1)/LOG10(Scoring!$B$4+1))+IF(OR(J44="Commercial",J44="Navigational"),Scoring!$B$5,IF(J44="Solution-aware",Scoring!$B$6,Scoring!$B$7)),0)</f>
        <v/>
      </c>
      <c r="R44" s="6">
        <f>IF(Q44&gt;=Scoring!$B$8,"Tier 1",IF(Q44&gt;=Scoring!$B$9,"Tier 2","Tier 3"))</f>
        <v/>
      </c>
      <c r="S44" s="6" t="inlineStr">
        <is>
          <t>https://appetize.io/ai</t>
        </is>
      </c>
      <c r="T44" s="6" t="inlineStr">
        <is>
          <t>Agents run in Linux containers – strong angle</t>
        </is>
      </c>
    </row>
    <row r="45">
      <c r="A45" s="6" t="n">
        <v>44</v>
      </c>
      <c r="B45" s="6" t="inlineStr">
        <is>
          <t>03 Cloud Simulators for Dev &amp; CI</t>
        </is>
      </c>
      <c r="C45" s="6" t="inlineStr">
        <is>
          <t>Cloud iOS Simulator</t>
        </is>
      </c>
      <c r="D45" s="6" t="inlineStr">
        <is>
          <t>ios simulator windows</t>
        </is>
      </c>
      <c r="E45" s="6" t="inlineStr">
        <is>
          <t>Phrase</t>
        </is>
      </c>
      <c r="F45" s="7" t="n">
        <v>1300</v>
      </c>
      <c r="G45" s="8" t="n"/>
      <c r="H45" s="9">
        <f>IF(G45&lt;&gt;"",G45,F45)</f>
        <v/>
      </c>
      <c r="I45" s="6" t="inlineStr">
        <is>
          <t>Medium</t>
        </is>
      </c>
      <c r="J45" s="6" t="inlineStr">
        <is>
          <t>Solution-aware</t>
        </is>
      </c>
      <c r="K45" s="6" t="inlineStr">
        <is>
          <t>MOFU</t>
        </is>
      </c>
      <c r="L45" s="6" t="inlineStr">
        <is>
          <t>Mobile Eng</t>
        </is>
      </c>
      <c r="M45" s="10" t="n">
        <v>3</v>
      </c>
      <c r="N45" s="6" t="inlineStr">
        <is>
          <t>Medium</t>
        </is>
      </c>
      <c r="O45" s="11" t="n">
        <v>1.5</v>
      </c>
      <c r="P45" s="11" t="n">
        <v>5</v>
      </c>
      <c r="Q45" s="6">
        <f>ROUND(Scoring!$B$2*(M45/5)+Scoring!$B$3*MIN(1,LOG10(H45+1)/LOG10(Scoring!$B$4+1))+IF(OR(J45="Commercial",J45="Navigational"),Scoring!$B$5,IF(J45="Solution-aware",Scoring!$B$6,Scoring!$B$7)),0)</f>
        <v/>
      </c>
      <c r="R45" s="6">
        <f>IF(Q45&gt;=Scoring!$B$8,"Tier 1",IF(Q45&gt;=Scoring!$B$9,"Tier 2","Tier 3"))</f>
        <v/>
      </c>
      <c r="S45" s="6" t="inlineStr">
        <is>
          <t>https://appetize.io/ai</t>
        </is>
      </c>
      <c r="T45" s="6" t="inlineStr">
        <is>
          <t>Many hobbyists; bid low, Exact only</t>
        </is>
      </c>
    </row>
    <row r="46">
      <c r="A46" s="6" t="n">
        <v>45</v>
      </c>
      <c r="B46" s="6" t="inlineStr">
        <is>
          <t>03 Cloud Simulators for Dev &amp; CI</t>
        </is>
      </c>
      <c r="C46" s="6" t="inlineStr">
        <is>
          <t>Cloud Android Emulator</t>
        </is>
      </c>
      <c r="D46" s="6" t="inlineStr">
        <is>
          <t>android emulator online</t>
        </is>
      </c>
      <c r="E46" s="6" t="inlineStr">
        <is>
          <t>Phrase</t>
        </is>
      </c>
      <c r="F46" s="7" t="n">
        <v>4400</v>
      </c>
      <c r="G46" s="8" t="n"/>
      <c r="H46" s="9">
        <f>IF(G46&lt;&gt;"",G46,F46)</f>
        <v/>
      </c>
      <c r="I46" s="6" t="inlineStr">
        <is>
          <t>Medium</t>
        </is>
      </c>
      <c r="J46" s="6" t="inlineStr">
        <is>
          <t>Commercial</t>
        </is>
      </c>
      <c r="K46" s="6" t="inlineStr">
        <is>
          <t>MOFU</t>
        </is>
      </c>
      <c r="L46" s="6" t="inlineStr">
        <is>
          <t>Mobile Eng / QA</t>
        </is>
      </c>
      <c r="M46" s="10" t="n">
        <v>3</v>
      </c>
      <c r="N46" s="6" t="inlineStr">
        <is>
          <t>Medium</t>
        </is>
      </c>
      <c r="O46" s="11" t="n">
        <v>1</v>
      </c>
      <c r="P46" s="11" t="n">
        <v>4</v>
      </c>
      <c r="Q46" s="6">
        <f>ROUND(Scoring!$B$2*(M46/5)+Scoring!$B$3*MIN(1,LOG10(H46+1)/LOG10(Scoring!$B$4+1))+IF(OR(J46="Commercial",J46="Navigational"),Scoring!$B$5,IF(J46="Solution-aware",Scoring!$B$6,Scoring!$B$7)),0)</f>
        <v/>
      </c>
      <c r="R46" s="6">
        <f>IF(Q46&gt;=Scoring!$B$8,"Tier 1",IF(Q46&gt;=Scoring!$B$9,"Tier 2","Tier 3"))</f>
        <v/>
      </c>
      <c r="S46" s="6" t="inlineStr">
        <is>
          <t>https://appetize.io/ai</t>
        </is>
      </c>
      <c r="T46" s="6" t="inlineStr">
        <is>
          <t>Gamer-heavy; strict negatives, low bids</t>
        </is>
      </c>
    </row>
    <row r="47">
      <c r="A47" s="6" t="n">
        <v>46</v>
      </c>
      <c r="B47" s="6" t="inlineStr">
        <is>
          <t>03 Cloud Simulators for Dev &amp; CI</t>
        </is>
      </c>
      <c r="C47" s="6" t="inlineStr">
        <is>
          <t>Cloud Android Emulator</t>
        </is>
      </c>
      <c r="D47" s="6" t="inlineStr">
        <is>
          <t>cloud android emulator</t>
        </is>
      </c>
      <c r="E47" s="6" t="inlineStr">
        <is>
          <t>Phrase</t>
        </is>
      </c>
      <c r="F47" s="7" t="n">
        <v>390</v>
      </c>
      <c r="G47" s="8" t="n"/>
      <c r="H47" s="9">
        <f>IF(G47&lt;&gt;"",G47,F47)</f>
        <v/>
      </c>
      <c r="I47" s="6" t="inlineStr">
        <is>
          <t>Medium</t>
        </is>
      </c>
      <c r="J47" s="6" t="inlineStr">
        <is>
          <t>Commercial</t>
        </is>
      </c>
      <c r="K47" s="6" t="inlineStr">
        <is>
          <t>BOFU</t>
        </is>
      </c>
      <c r="L47" s="6" t="inlineStr">
        <is>
          <t>Platform / DevEx</t>
        </is>
      </c>
      <c r="M47" s="10" t="n">
        <v>5</v>
      </c>
      <c r="N47" s="6" t="inlineStr">
        <is>
          <t>Medium</t>
        </is>
      </c>
      <c r="O47" s="11" t="n">
        <v>3</v>
      </c>
      <c r="P47" s="11" t="n">
        <v>9</v>
      </c>
      <c r="Q47" s="6">
        <f>ROUND(Scoring!$B$2*(M47/5)+Scoring!$B$3*MIN(1,LOG10(H47+1)/LOG10(Scoring!$B$4+1))+IF(OR(J47="Commercial",J47="Navigational"),Scoring!$B$5,IF(J47="Solution-aware",Scoring!$B$6,Scoring!$B$7)),0)</f>
        <v/>
      </c>
      <c r="R47" s="6">
        <f>IF(Q47&gt;=Scoring!$B$8,"Tier 1",IF(Q47&gt;=Scoring!$B$9,"Tier 2","Tier 3"))</f>
        <v/>
      </c>
      <c r="S47" s="6" t="inlineStr">
        <is>
          <t>https://appetize.io/ai</t>
        </is>
      </c>
      <c r="T47" s="6" t="inlineStr"/>
    </row>
    <row r="48">
      <c r="A48" s="6" t="n">
        <v>47</v>
      </c>
      <c r="B48" s="6" t="inlineStr">
        <is>
          <t>03 Cloud Simulators for Dev &amp; CI</t>
        </is>
      </c>
      <c r="C48" s="6" t="inlineStr">
        <is>
          <t>Cloud Android Emulator</t>
        </is>
      </c>
      <c r="D48" s="6" t="inlineStr">
        <is>
          <t>android emulator api</t>
        </is>
      </c>
      <c r="E48" s="6" t="inlineStr">
        <is>
          <t>Phrase</t>
        </is>
      </c>
      <c r="F48" s="7" t="n">
        <v>90</v>
      </c>
      <c r="G48" s="8" t="n"/>
      <c r="H48" s="9">
        <f>IF(G48&lt;&gt;"",G48,F48)</f>
        <v/>
      </c>
      <c r="I48" s="6" t="inlineStr">
        <is>
          <t>Low</t>
        </is>
      </c>
      <c r="J48" s="6" t="inlineStr">
        <is>
          <t>Commercial</t>
        </is>
      </c>
      <c r="K48" s="6" t="inlineStr">
        <is>
          <t>BOFU</t>
        </is>
      </c>
      <c r="L48" s="6" t="inlineStr">
        <is>
          <t>Platform / DevEx</t>
        </is>
      </c>
      <c r="M48" s="10" t="n">
        <v>5</v>
      </c>
      <c r="N48" s="6" t="inlineStr">
        <is>
          <t>Low</t>
        </is>
      </c>
      <c r="O48" s="11" t="n">
        <v>3</v>
      </c>
      <c r="P48" s="11" t="n">
        <v>9</v>
      </c>
      <c r="Q48" s="6">
        <f>ROUND(Scoring!$B$2*(M48/5)+Scoring!$B$3*MIN(1,LOG10(H48+1)/LOG10(Scoring!$B$4+1))+IF(OR(J48="Commercial",J48="Navigational"),Scoring!$B$5,IF(J48="Solution-aware",Scoring!$B$6,Scoring!$B$7)),0)</f>
        <v/>
      </c>
      <c r="R48" s="6">
        <f>IF(Q48&gt;=Scoring!$B$8,"Tier 1",IF(Q48&gt;=Scoring!$B$9,"Tier 2","Tier 3"))</f>
        <v/>
      </c>
      <c r="S48" s="6" t="inlineStr">
        <is>
          <t>https://appetize.io/ai</t>
        </is>
      </c>
      <c r="T48" s="6" t="inlineStr"/>
    </row>
    <row r="49">
      <c r="A49" s="6" t="n">
        <v>48</v>
      </c>
      <c r="B49" s="6" t="inlineStr">
        <is>
          <t>03 Cloud Simulators for Dev &amp; CI</t>
        </is>
      </c>
      <c r="C49" s="6" t="inlineStr">
        <is>
          <t>Cloud Android Emulator</t>
        </is>
      </c>
      <c r="D49" s="6" t="inlineStr">
        <is>
          <t>remote android emulator</t>
        </is>
      </c>
      <c r="E49" s="6" t="inlineStr">
        <is>
          <t>Phrase</t>
        </is>
      </c>
      <c r="F49" s="7" t="n">
        <v>110</v>
      </c>
      <c r="G49" s="8" t="n"/>
      <c r="H49" s="9">
        <f>IF(G49&lt;&gt;"",G49,F49)</f>
        <v/>
      </c>
      <c r="I49" s="6" t="inlineStr">
        <is>
          <t>Low</t>
        </is>
      </c>
      <c r="J49" s="6" t="inlineStr">
        <is>
          <t>Commercial</t>
        </is>
      </c>
      <c r="K49" s="6" t="inlineStr">
        <is>
          <t>BOFU</t>
        </is>
      </c>
      <c r="L49" s="6" t="inlineStr">
        <is>
          <t>Platform / DevEx</t>
        </is>
      </c>
      <c r="M49" s="10" t="n">
        <v>5</v>
      </c>
      <c r="N49" s="6" t="inlineStr">
        <is>
          <t>Low</t>
        </is>
      </c>
      <c r="O49" s="11" t="n">
        <v>3</v>
      </c>
      <c r="P49" s="11" t="n">
        <v>9</v>
      </c>
      <c r="Q49" s="6">
        <f>ROUND(Scoring!$B$2*(M49/5)+Scoring!$B$3*MIN(1,LOG10(H49+1)/LOG10(Scoring!$B$4+1))+IF(OR(J49="Commercial",J49="Navigational"),Scoring!$B$5,IF(J49="Solution-aware",Scoring!$B$6,Scoring!$B$7)),0)</f>
        <v/>
      </c>
      <c r="R49" s="6">
        <f>IF(Q49&gt;=Scoring!$B$8,"Tier 1",IF(Q49&gt;=Scoring!$B$9,"Tier 2","Tier 3"))</f>
        <v/>
      </c>
      <c r="S49" s="6" t="inlineStr">
        <is>
          <t>https://appetize.io/ai</t>
        </is>
      </c>
      <c r="T49" s="6" t="inlineStr"/>
    </row>
    <row r="50">
      <c r="A50" s="6" t="n">
        <v>49</v>
      </c>
      <c r="B50" s="6" t="inlineStr">
        <is>
          <t>03 Cloud Simulators for Dev &amp; CI</t>
        </is>
      </c>
      <c r="C50" s="6" t="inlineStr">
        <is>
          <t>Cloud Android Emulator</t>
        </is>
      </c>
      <c r="D50" s="6" t="inlineStr">
        <is>
          <t>android emulator as a service</t>
        </is>
      </c>
      <c r="E50" s="6" t="inlineStr">
        <is>
          <t>Phrase</t>
        </is>
      </c>
      <c r="F50" s="7" t="n">
        <v>30</v>
      </c>
      <c r="G50" s="8" t="n"/>
      <c r="H50" s="9">
        <f>IF(G50&lt;&gt;"",G50,F50)</f>
        <v/>
      </c>
      <c r="I50" s="6" t="inlineStr">
        <is>
          <t>Low</t>
        </is>
      </c>
      <c r="J50" s="6" t="inlineStr">
        <is>
          <t>Commercial</t>
        </is>
      </c>
      <c r="K50" s="6" t="inlineStr">
        <is>
          <t>BOFU</t>
        </is>
      </c>
      <c r="L50" s="6" t="inlineStr">
        <is>
          <t>Platform / DevEx</t>
        </is>
      </c>
      <c r="M50" s="10" t="n">
        <v>5</v>
      </c>
      <c r="N50" s="6" t="inlineStr">
        <is>
          <t>Low</t>
        </is>
      </c>
      <c r="O50" s="11" t="n">
        <v>3</v>
      </c>
      <c r="P50" s="11" t="n">
        <v>9</v>
      </c>
      <c r="Q50" s="6">
        <f>ROUND(Scoring!$B$2*(M50/5)+Scoring!$B$3*MIN(1,LOG10(H50+1)/LOG10(Scoring!$B$4+1))+IF(OR(J50="Commercial",J50="Navigational"),Scoring!$B$5,IF(J50="Solution-aware",Scoring!$B$6,Scoring!$B$7)),0)</f>
        <v/>
      </c>
      <c r="R50" s="6">
        <f>IF(Q50&gt;=Scoring!$B$8,"Tier 1",IF(Q50&gt;=Scoring!$B$9,"Tier 2","Tier 3"))</f>
        <v/>
      </c>
      <c r="S50" s="6" t="inlineStr">
        <is>
          <t>https://appetize.io/ai</t>
        </is>
      </c>
      <c r="T50" s="6" t="inlineStr"/>
    </row>
    <row r="51">
      <c r="A51" s="6" t="n">
        <v>50</v>
      </c>
      <c r="B51" s="6" t="inlineStr">
        <is>
          <t>03 Cloud Simulators for Dev &amp; CI</t>
        </is>
      </c>
      <c r="C51" s="6" t="inlineStr">
        <is>
          <t>Simulators in CI/CD</t>
        </is>
      </c>
      <c r="D51" s="6" t="inlineStr">
        <is>
          <t>github actions ios simulator</t>
        </is>
      </c>
      <c r="E51" s="6" t="inlineStr">
        <is>
          <t>Phrase</t>
        </is>
      </c>
      <c r="F51" s="7" t="n">
        <v>110</v>
      </c>
      <c r="G51" s="8" t="n"/>
      <c r="H51" s="9">
        <f>IF(G51&lt;&gt;"",G51,F51)</f>
        <v/>
      </c>
      <c r="I51" s="6" t="inlineStr">
        <is>
          <t>Low</t>
        </is>
      </c>
      <c r="J51" s="6" t="inlineStr">
        <is>
          <t>Solution-aware</t>
        </is>
      </c>
      <c r="K51" s="6" t="inlineStr">
        <is>
          <t>MOFU</t>
        </is>
      </c>
      <c r="L51" s="6" t="inlineStr">
        <is>
          <t>Platform / DevEx</t>
        </is>
      </c>
      <c r="M51" s="10" t="n">
        <v>5</v>
      </c>
      <c r="N51" s="6" t="inlineStr">
        <is>
          <t>Low</t>
        </is>
      </c>
      <c r="O51" s="11" t="n">
        <v>3</v>
      </c>
      <c r="P51" s="11" t="n">
        <v>9</v>
      </c>
      <c r="Q51" s="6">
        <f>ROUND(Scoring!$B$2*(M51/5)+Scoring!$B$3*MIN(1,LOG10(H51+1)/LOG10(Scoring!$B$4+1))+IF(OR(J51="Commercial",J51="Navigational"),Scoring!$B$5,IF(J51="Solution-aware",Scoring!$B$6,Scoring!$B$7)),0)</f>
        <v/>
      </c>
      <c r="R51" s="6">
        <f>IF(Q51&gt;=Scoring!$B$8,"Tier 1",IF(Q51&gt;=Scoring!$B$9,"Tier 2","Tier 3"))</f>
        <v/>
      </c>
      <c r="S51" s="6" t="inlineStr">
        <is>
          <t>https://appetize.io/ai</t>
        </is>
      </c>
      <c r="T51" s="6" t="inlineStr"/>
    </row>
    <row r="52">
      <c r="A52" s="6" t="n">
        <v>51</v>
      </c>
      <c r="B52" s="6" t="inlineStr">
        <is>
          <t>03 Cloud Simulators for Dev &amp; CI</t>
        </is>
      </c>
      <c r="C52" s="6" t="inlineStr">
        <is>
          <t>Simulators in CI/CD</t>
        </is>
      </c>
      <c r="D52" s="6" t="inlineStr">
        <is>
          <t>github actions android emulator</t>
        </is>
      </c>
      <c r="E52" s="6" t="inlineStr">
        <is>
          <t>Phrase</t>
        </is>
      </c>
      <c r="F52" s="7" t="n">
        <v>170</v>
      </c>
      <c r="G52" s="8" t="n"/>
      <c r="H52" s="9">
        <f>IF(G52&lt;&gt;"",G52,F52)</f>
        <v/>
      </c>
      <c r="I52" s="6" t="inlineStr">
        <is>
          <t>Low</t>
        </is>
      </c>
      <c r="J52" s="6" t="inlineStr">
        <is>
          <t>Solution-aware</t>
        </is>
      </c>
      <c r="K52" s="6" t="inlineStr">
        <is>
          <t>MOFU</t>
        </is>
      </c>
      <c r="L52" s="6" t="inlineStr">
        <is>
          <t>Platform / DevEx</t>
        </is>
      </c>
      <c r="M52" s="10" t="n">
        <v>5</v>
      </c>
      <c r="N52" s="6" t="inlineStr">
        <is>
          <t>Low</t>
        </is>
      </c>
      <c r="O52" s="11" t="n">
        <v>3</v>
      </c>
      <c r="P52" s="11" t="n">
        <v>9</v>
      </c>
      <c r="Q52" s="6">
        <f>ROUND(Scoring!$B$2*(M52/5)+Scoring!$B$3*MIN(1,LOG10(H52+1)/LOG10(Scoring!$B$4+1))+IF(OR(J52="Commercial",J52="Navigational"),Scoring!$B$5,IF(J52="Solution-aware",Scoring!$B$6,Scoring!$B$7)),0)</f>
        <v/>
      </c>
      <c r="R52" s="6">
        <f>IF(Q52&gt;=Scoring!$B$8,"Tier 1",IF(Q52&gt;=Scoring!$B$9,"Tier 2","Tier 3"))</f>
        <v/>
      </c>
      <c r="S52" s="6" t="inlineStr">
        <is>
          <t>https://appetize.io/ai</t>
        </is>
      </c>
      <c r="T52" s="6" t="inlineStr"/>
    </row>
    <row r="53">
      <c r="A53" s="6" t="n">
        <v>52</v>
      </c>
      <c r="B53" s="6" t="inlineStr">
        <is>
          <t>03 Cloud Simulators for Dev &amp; CI</t>
        </is>
      </c>
      <c r="C53" s="6" t="inlineStr">
        <is>
          <t>Simulators in CI/CD</t>
        </is>
      </c>
      <c r="D53" s="6" t="inlineStr">
        <is>
          <t>android emulator ci</t>
        </is>
      </c>
      <c r="E53" s="6" t="inlineStr">
        <is>
          <t>Phrase</t>
        </is>
      </c>
      <c r="F53" s="7" t="n">
        <v>90</v>
      </c>
      <c r="G53" s="8" t="n"/>
      <c r="H53" s="9">
        <f>IF(G53&lt;&gt;"",G53,F53)</f>
        <v/>
      </c>
      <c r="I53" s="6" t="inlineStr">
        <is>
          <t>Low</t>
        </is>
      </c>
      <c r="J53" s="6" t="inlineStr">
        <is>
          <t>Solution-aware</t>
        </is>
      </c>
      <c r="K53" s="6" t="inlineStr">
        <is>
          <t>MOFU</t>
        </is>
      </c>
      <c r="L53" s="6" t="inlineStr">
        <is>
          <t>Platform / DevEx</t>
        </is>
      </c>
      <c r="M53" s="10" t="n">
        <v>5</v>
      </c>
      <c r="N53" s="6" t="inlineStr">
        <is>
          <t>Low</t>
        </is>
      </c>
      <c r="O53" s="11" t="n">
        <v>3</v>
      </c>
      <c r="P53" s="11" t="n">
        <v>9</v>
      </c>
      <c r="Q53" s="6">
        <f>ROUND(Scoring!$B$2*(M53/5)+Scoring!$B$3*MIN(1,LOG10(H53+1)/LOG10(Scoring!$B$4+1))+IF(OR(J53="Commercial",J53="Navigational"),Scoring!$B$5,IF(J53="Solution-aware",Scoring!$B$6,Scoring!$B$7)),0)</f>
        <v/>
      </c>
      <c r="R53" s="6">
        <f>IF(Q53&gt;=Scoring!$B$8,"Tier 1",IF(Q53&gt;=Scoring!$B$9,"Tier 2","Tier 3"))</f>
        <v/>
      </c>
      <c r="S53" s="6" t="inlineStr">
        <is>
          <t>https://appetize.io/ai</t>
        </is>
      </c>
      <c r="T53" s="6" t="inlineStr"/>
    </row>
    <row r="54">
      <c r="A54" s="6" t="n">
        <v>53</v>
      </c>
      <c r="B54" s="6" t="inlineStr">
        <is>
          <t>03 Cloud Simulators for Dev &amp; CI</t>
        </is>
      </c>
      <c r="C54" s="6" t="inlineStr">
        <is>
          <t>Simulators in CI/CD</t>
        </is>
      </c>
      <c r="D54" s="6" t="inlineStr">
        <is>
          <t>ios simulator ci</t>
        </is>
      </c>
      <c r="E54" s="6" t="inlineStr">
        <is>
          <t>Phrase</t>
        </is>
      </c>
      <c r="F54" s="7" t="n">
        <v>50</v>
      </c>
      <c r="G54" s="8" t="n"/>
      <c r="H54" s="9">
        <f>IF(G54&lt;&gt;"",G54,F54)</f>
        <v/>
      </c>
      <c r="I54" s="6" t="inlineStr">
        <is>
          <t>Low</t>
        </is>
      </c>
      <c r="J54" s="6" t="inlineStr">
        <is>
          <t>Solution-aware</t>
        </is>
      </c>
      <c r="K54" s="6" t="inlineStr">
        <is>
          <t>MOFU</t>
        </is>
      </c>
      <c r="L54" s="6" t="inlineStr">
        <is>
          <t>Platform / DevEx</t>
        </is>
      </c>
      <c r="M54" s="10" t="n">
        <v>5</v>
      </c>
      <c r="N54" s="6" t="inlineStr">
        <is>
          <t>Low</t>
        </is>
      </c>
      <c r="O54" s="11" t="n">
        <v>3</v>
      </c>
      <c r="P54" s="11" t="n">
        <v>9</v>
      </c>
      <c r="Q54" s="6">
        <f>ROUND(Scoring!$B$2*(M54/5)+Scoring!$B$3*MIN(1,LOG10(H54+1)/LOG10(Scoring!$B$4+1))+IF(OR(J54="Commercial",J54="Navigational"),Scoring!$B$5,IF(J54="Solution-aware",Scoring!$B$6,Scoring!$B$7)),0)</f>
        <v/>
      </c>
      <c r="R54" s="6">
        <f>IF(Q54&gt;=Scoring!$B$8,"Tier 1",IF(Q54&gt;=Scoring!$B$9,"Tier 2","Tier 3"))</f>
        <v/>
      </c>
      <c r="S54" s="6" t="inlineStr">
        <is>
          <t>https://appetize.io/ai</t>
        </is>
      </c>
      <c r="T54" s="6" t="inlineStr"/>
    </row>
    <row r="55">
      <c r="A55" s="6" t="n">
        <v>54</v>
      </c>
      <c r="B55" s="6" t="inlineStr">
        <is>
          <t>03 Cloud Simulators for Dev &amp; CI</t>
        </is>
      </c>
      <c r="C55" s="6" t="inlineStr">
        <is>
          <t>Simulators in CI/CD</t>
        </is>
      </c>
      <c r="D55" s="6" t="inlineStr">
        <is>
          <t>mobile ci cd</t>
        </is>
      </c>
      <c r="E55" s="6" t="inlineStr">
        <is>
          <t>Phrase</t>
        </is>
      </c>
      <c r="F55" s="7" t="n">
        <v>390</v>
      </c>
      <c r="G55" s="8" t="n"/>
      <c r="H55" s="9">
        <f>IF(G55&lt;&gt;"",G55,F55)</f>
        <v/>
      </c>
      <c r="I55" s="6" t="inlineStr">
        <is>
          <t>Medium</t>
        </is>
      </c>
      <c r="J55" s="6" t="inlineStr">
        <is>
          <t>Commercial</t>
        </is>
      </c>
      <c r="K55" s="6" t="inlineStr">
        <is>
          <t>MOFU</t>
        </is>
      </c>
      <c r="L55" s="6" t="inlineStr">
        <is>
          <t>Platform / DevEx</t>
        </is>
      </c>
      <c r="M55" s="10" t="n">
        <v>4</v>
      </c>
      <c r="N55" s="6" t="inlineStr">
        <is>
          <t>Medium</t>
        </is>
      </c>
      <c r="O55" s="11" t="n">
        <v>4</v>
      </c>
      <c r="P55" s="11" t="n">
        <v>12</v>
      </c>
      <c r="Q55" s="6">
        <f>ROUND(Scoring!$B$2*(M55/5)+Scoring!$B$3*MIN(1,LOG10(H55+1)/LOG10(Scoring!$B$4+1))+IF(OR(J55="Commercial",J55="Navigational"),Scoring!$B$5,IF(J55="Solution-aware",Scoring!$B$6,Scoring!$B$7)),0)</f>
        <v/>
      </c>
      <c r="R55" s="6">
        <f>IF(Q55&gt;=Scoring!$B$8,"Tier 1",IF(Q55&gt;=Scoring!$B$9,"Tier 2","Tier 3"))</f>
        <v/>
      </c>
      <c r="S55" s="6" t="inlineStr">
        <is>
          <t>https://appetize.io/ai</t>
        </is>
      </c>
      <c r="T55" s="6" t="inlineStr"/>
    </row>
    <row r="56">
      <c r="A56" s="6" t="n">
        <v>55</v>
      </c>
      <c r="B56" s="6" t="inlineStr">
        <is>
          <t>03 Cloud Simulators for Dev &amp; CI</t>
        </is>
      </c>
      <c r="C56" s="6" t="inlineStr">
        <is>
          <t>Simulators in CI/CD</t>
        </is>
      </c>
      <c r="D56" s="6" t="inlineStr">
        <is>
          <t>mobile devops</t>
        </is>
      </c>
      <c r="E56" s="6" t="inlineStr">
        <is>
          <t>Phrase</t>
        </is>
      </c>
      <c r="F56" s="7" t="n">
        <v>480</v>
      </c>
      <c r="G56" s="8" t="n"/>
      <c r="H56" s="9">
        <f>IF(G56&lt;&gt;"",G56,F56)</f>
        <v/>
      </c>
      <c r="I56" s="6" t="inlineStr">
        <is>
          <t>Medium</t>
        </is>
      </c>
      <c r="J56" s="6" t="inlineStr">
        <is>
          <t>Commercial</t>
        </is>
      </c>
      <c r="K56" s="6" t="inlineStr">
        <is>
          <t>TOFU</t>
        </is>
      </c>
      <c r="L56" s="6" t="inlineStr">
        <is>
          <t>Platform / DevEx</t>
        </is>
      </c>
      <c r="M56" s="10" t="n">
        <v>3</v>
      </c>
      <c r="N56" s="6" t="inlineStr">
        <is>
          <t>Medium</t>
        </is>
      </c>
      <c r="O56" s="11" t="n">
        <v>4</v>
      </c>
      <c r="P56" s="11" t="n">
        <v>12</v>
      </c>
      <c r="Q56" s="6">
        <f>ROUND(Scoring!$B$2*(M56/5)+Scoring!$B$3*MIN(1,LOG10(H56+1)/LOG10(Scoring!$B$4+1))+IF(OR(J56="Commercial",J56="Navigational"),Scoring!$B$5,IF(J56="Solution-aware",Scoring!$B$6,Scoring!$B$7)),0)</f>
        <v/>
      </c>
      <c r="R56" s="6">
        <f>IF(Q56&gt;=Scoring!$B$8,"Tier 1",IF(Q56&gt;=Scoring!$B$9,"Tier 2","Tier 3"))</f>
        <v/>
      </c>
      <c r="S56" s="6" t="inlineStr">
        <is>
          <t>https://appetize.io/ai</t>
        </is>
      </c>
      <c r="T56" s="6" t="inlineStr"/>
    </row>
    <row r="57">
      <c r="A57" s="6" t="n">
        <v>56</v>
      </c>
      <c r="B57" s="6" t="inlineStr">
        <is>
          <t>03 Cloud Simulators for Dev &amp; CI</t>
        </is>
      </c>
      <c r="C57" s="6" t="inlineStr">
        <is>
          <t>Headless / Docker</t>
        </is>
      </c>
      <c r="D57" s="6" t="inlineStr">
        <is>
          <t>headless android emulator</t>
        </is>
      </c>
      <c r="E57" s="6" t="inlineStr">
        <is>
          <t>Phrase</t>
        </is>
      </c>
      <c r="F57" s="7" t="n">
        <v>260</v>
      </c>
      <c r="G57" s="8" t="n"/>
      <c r="H57" s="9">
        <f>IF(G57&lt;&gt;"",G57,F57)</f>
        <v/>
      </c>
      <c r="I57" s="6" t="inlineStr">
        <is>
          <t>Low</t>
        </is>
      </c>
      <c r="J57" s="6" t="inlineStr">
        <is>
          <t>Solution-aware</t>
        </is>
      </c>
      <c r="K57" s="6" t="inlineStr">
        <is>
          <t>MOFU</t>
        </is>
      </c>
      <c r="L57" s="6" t="inlineStr">
        <is>
          <t>Platform / DevEx</t>
        </is>
      </c>
      <c r="M57" s="10" t="n">
        <v>4</v>
      </c>
      <c r="N57" s="6" t="inlineStr">
        <is>
          <t>Low</t>
        </is>
      </c>
      <c r="O57" s="11" t="n">
        <v>2</v>
      </c>
      <c r="P57" s="11" t="n">
        <v>7</v>
      </c>
      <c r="Q57" s="6">
        <f>ROUND(Scoring!$B$2*(M57/5)+Scoring!$B$3*MIN(1,LOG10(H57+1)/LOG10(Scoring!$B$4+1))+IF(OR(J57="Commercial",J57="Navigational"),Scoring!$B$5,IF(J57="Solution-aware",Scoring!$B$6,Scoring!$B$7)),0)</f>
        <v/>
      </c>
      <c r="R57" s="6">
        <f>IF(Q57&gt;=Scoring!$B$8,"Tier 1",IF(Q57&gt;=Scoring!$B$9,"Tier 2","Tier 3"))</f>
        <v/>
      </c>
      <c r="S57" s="6" t="inlineStr">
        <is>
          <t>https://appetize.io/ai</t>
        </is>
      </c>
      <c r="T57" s="6" t="inlineStr"/>
    </row>
    <row r="58">
      <c r="A58" s="6" t="n">
        <v>57</v>
      </c>
      <c r="B58" s="6" t="inlineStr">
        <is>
          <t>03 Cloud Simulators for Dev &amp; CI</t>
        </is>
      </c>
      <c r="C58" s="6" t="inlineStr">
        <is>
          <t>Headless / Docker</t>
        </is>
      </c>
      <c r="D58" s="6" t="inlineStr">
        <is>
          <t>android emulator docker</t>
        </is>
      </c>
      <c r="E58" s="6" t="inlineStr">
        <is>
          <t>Phrase</t>
        </is>
      </c>
      <c r="F58" s="7" t="n">
        <v>590</v>
      </c>
      <c r="G58" s="8" t="n"/>
      <c r="H58" s="9">
        <f>IF(G58&lt;&gt;"",G58,F58)</f>
        <v/>
      </c>
      <c r="I58" s="6" t="inlineStr">
        <is>
          <t>Medium</t>
        </is>
      </c>
      <c r="J58" s="6" t="inlineStr">
        <is>
          <t>Solution-aware</t>
        </is>
      </c>
      <c r="K58" s="6" t="inlineStr">
        <is>
          <t>MOFU</t>
        </is>
      </c>
      <c r="L58" s="6" t="inlineStr">
        <is>
          <t>Platform / DevEx</t>
        </is>
      </c>
      <c r="M58" s="10" t="n">
        <v>4</v>
      </c>
      <c r="N58" s="6" t="inlineStr">
        <is>
          <t>Low</t>
        </is>
      </c>
      <c r="O58" s="11" t="n">
        <v>2</v>
      </c>
      <c r="P58" s="11" t="n">
        <v>7</v>
      </c>
      <c r="Q58" s="6">
        <f>ROUND(Scoring!$B$2*(M58/5)+Scoring!$B$3*MIN(1,LOG10(H58+1)/LOG10(Scoring!$B$4+1))+IF(OR(J58="Commercial",J58="Navigational"),Scoring!$B$5,IF(J58="Solution-aware",Scoring!$B$6,Scoring!$B$7)),0)</f>
        <v/>
      </c>
      <c r="R58" s="6">
        <f>IF(Q58&gt;=Scoring!$B$8,"Tier 1",IF(Q58&gt;=Scoring!$B$9,"Tier 2","Tier 3"))</f>
        <v/>
      </c>
      <c r="S58" s="6" t="inlineStr">
        <is>
          <t>https://appetize.io/ai</t>
        </is>
      </c>
      <c r="T58" s="6" t="inlineStr"/>
    </row>
    <row r="59">
      <c r="A59" s="6" t="n">
        <v>58</v>
      </c>
      <c r="B59" s="6" t="inlineStr">
        <is>
          <t>03 Cloud Simulators for Dev &amp; CI</t>
        </is>
      </c>
      <c r="C59" s="6" t="inlineStr">
        <is>
          <t>Headless / Docker</t>
        </is>
      </c>
      <c r="D59" s="6" t="inlineStr">
        <is>
          <t>ios simulator docker</t>
        </is>
      </c>
      <c r="E59" s="6" t="inlineStr">
        <is>
          <t>Phrase</t>
        </is>
      </c>
      <c r="F59" s="7" t="n">
        <v>170</v>
      </c>
      <c r="G59" s="8" t="n"/>
      <c r="H59" s="9">
        <f>IF(G59&lt;&gt;"",G59,F59)</f>
        <v/>
      </c>
      <c r="I59" s="6" t="inlineStr">
        <is>
          <t>Low</t>
        </is>
      </c>
      <c r="J59" s="6" t="inlineStr">
        <is>
          <t>Solution-aware</t>
        </is>
      </c>
      <c r="K59" s="6" t="inlineStr">
        <is>
          <t>MOFU</t>
        </is>
      </c>
      <c r="L59" s="6" t="inlineStr">
        <is>
          <t>Platform / DevEx</t>
        </is>
      </c>
      <c r="M59" s="10" t="n">
        <v>5</v>
      </c>
      <c r="N59" s="6" t="inlineStr">
        <is>
          <t>Low</t>
        </is>
      </c>
      <c r="O59" s="11" t="n">
        <v>2</v>
      </c>
      <c r="P59" s="11" t="n">
        <v>7</v>
      </c>
      <c r="Q59" s="6">
        <f>ROUND(Scoring!$B$2*(M59/5)+Scoring!$B$3*MIN(1,LOG10(H59+1)/LOG10(Scoring!$B$4+1))+IF(OR(J59="Commercial",J59="Navigational"),Scoring!$B$5,IF(J59="Solution-aware",Scoring!$B$6,Scoring!$B$7)),0)</f>
        <v/>
      </c>
      <c r="R59" s="6">
        <f>IF(Q59&gt;=Scoring!$B$8,"Tier 1",IF(Q59&gt;=Scoring!$B$9,"Tier 2","Tier 3"))</f>
        <v/>
      </c>
      <c r="S59" s="6" t="inlineStr">
        <is>
          <t>https://appetize.io/ai</t>
        </is>
      </c>
      <c r="T59" s="6" t="inlineStr">
        <is>
          <t>Not possible natively – Appetize solves it</t>
        </is>
      </c>
    </row>
    <row r="60">
      <c r="A60" s="6" t="n">
        <v>59</v>
      </c>
      <c r="B60" s="6" t="inlineStr">
        <is>
          <t>03 Cloud Simulators for Dev &amp; CI</t>
        </is>
      </c>
      <c r="C60" s="6" t="inlineStr">
        <is>
          <t>Headless / Docker</t>
        </is>
      </c>
      <c r="D60" s="6" t="inlineStr">
        <is>
          <t>ios simulator automation</t>
        </is>
      </c>
      <c r="E60" s="6" t="inlineStr">
        <is>
          <t>Phrase</t>
        </is>
      </c>
      <c r="F60" s="7" t="n">
        <v>110</v>
      </c>
      <c r="G60" s="8" t="n"/>
      <c r="H60" s="9">
        <f>IF(G60&lt;&gt;"",G60,F60)</f>
        <v/>
      </c>
      <c r="I60" s="6" t="inlineStr">
        <is>
          <t>Low</t>
        </is>
      </c>
      <c r="J60" s="6" t="inlineStr">
        <is>
          <t>Solution-aware</t>
        </is>
      </c>
      <c r="K60" s="6" t="inlineStr">
        <is>
          <t>MOFU</t>
        </is>
      </c>
      <c r="L60" s="6" t="inlineStr">
        <is>
          <t>QA Automation</t>
        </is>
      </c>
      <c r="M60" s="10" t="n">
        <v>5</v>
      </c>
      <c r="N60" s="6" t="inlineStr">
        <is>
          <t>Low</t>
        </is>
      </c>
      <c r="O60" s="11" t="n">
        <v>3</v>
      </c>
      <c r="P60" s="11" t="n">
        <v>8</v>
      </c>
      <c r="Q60" s="6">
        <f>ROUND(Scoring!$B$2*(M60/5)+Scoring!$B$3*MIN(1,LOG10(H60+1)/LOG10(Scoring!$B$4+1))+IF(OR(J60="Commercial",J60="Navigational"),Scoring!$B$5,IF(J60="Solution-aware",Scoring!$B$6,Scoring!$B$7)),0)</f>
        <v/>
      </c>
      <c r="R60" s="6">
        <f>IF(Q60&gt;=Scoring!$B$8,"Tier 1",IF(Q60&gt;=Scoring!$B$9,"Tier 2","Tier 3"))</f>
        <v/>
      </c>
      <c r="S60" s="6" t="inlineStr">
        <is>
          <t>https://appetize.io/ai</t>
        </is>
      </c>
      <c r="T60" s="6" t="inlineStr"/>
    </row>
    <row r="61">
      <c r="A61" s="6" t="n">
        <v>60</v>
      </c>
      <c r="B61" s="6" t="inlineStr">
        <is>
          <t>03 Cloud Simulators for Dev &amp; CI</t>
        </is>
      </c>
      <c r="C61" s="6" t="inlineStr">
        <is>
          <t>Headless / Docker</t>
        </is>
      </c>
      <c r="D61" s="6" t="inlineStr">
        <is>
          <t>android emulator automation</t>
        </is>
      </c>
      <c r="E61" s="6" t="inlineStr">
        <is>
          <t>Phrase</t>
        </is>
      </c>
      <c r="F61" s="7" t="n">
        <v>170</v>
      </c>
      <c r="G61" s="8" t="n"/>
      <c r="H61" s="9">
        <f>IF(G61&lt;&gt;"",G61,F61)</f>
        <v/>
      </c>
      <c r="I61" s="6" t="inlineStr">
        <is>
          <t>Low</t>
        </is>
      </c>
      <c r="J61" s="6" t="inlineStr">
        <is>
          <t>Solution-aware</t>
        </is>
      </c>
      <c r="K61" s="6" t="inlineStr">
        <is>
          <t>MOFU</t>
        </is>
      </c>
      <c r="L61" s="6" t="inlineStr">
        <is>
          <t>QA Automation</t>
        </is>
      </c>
      <c r="M61" s="10" t="n">
        <v>4</v>
      </c>
      <c r="N61" s="6" t="inlineStr">
        <is>
          <t>Low</t>
        </is>
      </c>
      <c r="O61" s="11" t="n">
        <v>3</v>
      </c>
      <c r="P61" s="11" t="n">
        <v>8</v>
      </c>
      <c r="Q61" s="6">
        <f>ROUND(Scoring!$B$2*(M61/5)+Scoring!$B$3*MIN(1,LOG10(H61+1)/LOG10(Scoring!$B$4+1))+IF(OR(J61="Commercial",J61="Navigational"),Scoring!$B$5,IF(J61="Solution-aware",Scoring!$B$6,Scoring!$B$7)),0)</f>
        <v/>
      </c>
      <c r="R61" s="6">
        <f>IF(Q61&gt;=Scoring!$B$8,"Tier 1",IF(Q61&gt;=Scoring!$B$9,"Tier 2","Tier 3"))</f>
        <v/>
      </c>
      <c r="S61" s="6" t="inlineStr">
        <is>
          <t>https://appetize.io/ai</t>
        </is>
      </c>
      <c r="T61" s="6" t="inlineStr"/>
    </row>
    <row r="62">
      <c r="A62" s="6" t="n">
        <v>61</v>
      </c>
      <c r="B62" s="6" t="inlineStr">
        <is>
          <t>03 Cloud Simulators for Dev &amp; CI</t>
        </is>
      </c>
      <c r="C62" s="6" t="inlineStr">
        <is>
          <t>iOS Dev Without a Mac</t>
        </is>
      </c>
      <c r="D62" s="6" t="inlineStr">
        <is>
          <t>run ios simulator without mac</t>
        </is>
      </c>
      <c r="E62" s="6" t="inlineStr">
        <is>
          <t>Phrase</t>
        </is>
      </c>
      <c r="F62" s="7" t="n">
        <v>140</v>
      </c>
      <c r="G62" s="8" t="n"/>
      <c r="H62" s="9">
        <f>IF(G62&lt;&gt;"",G62,F62)</f>
        <v/>
      </c>
      <c r="I62" s="6" t="inlineStr">
        <is>
          <t>Low</t>
        </is>
      </c>
      <c r="J62" s="6" t="inlineStr">
        <is>
          <t>Solution-aware</t>
        </is>
      </c>
      <c r="K62" s="6" t="inlineStr">
        <is>
          <t>MOFU</t>
        </is>
      </c>
      <c r="L62" s="6" t="inlineStr">
        <is>
          <t>Mobile Eng</t>
        </is>
      </c>
      <c r="M62" s="10" t="n">
        <v>4</v>
      </c>
      <c r="N62" s="6" t="inlineStr">
        <is>
          <t>Low</t>
        </is>
      </c>
      <c r="O62" s="11" t="n">
        <v>2</v>
      </c>
      <c r="P62" s="11" t="n">
        <v>6</v>
      </c>
      <c r="Q62" s="6">
        <f>ROUND(Scoring!$B$2*(M62/5)+Scoring!$B$3*MIN(1,LOG10(H62+1)/LOG10(Scoring!$B$4+1))+IF(OR(J62="Commercial",J62="Navigational"),Scoring!$B$5,IF(J62="Solution-aware",Scoring!$B$6,Scoring!$B$7)),0)</f>
        <v/>
      </c>
      <c r="R62" s="6">
        <f>IF(Q62&gt;=Scoring!$B$8,"Tier 1",IF(Q62&gt;=Scoring!$B$9,"Tier 2","Tier 3"))</f>
        <v/>
      </c>
      <c r="S62" s="6" t="inlineStr">
        <is>
          <t>https://appetize.io/ai</t>
        </is>
      </c>
      <c r="T62" s="6" t="inlineStr"/>
    </row>
    <row r="63">
      <c r="A63" s="6" t="n">
        <v>62</v>
      </c>
      <c r="B63" s="6" t="inlineStr">
        <is>
          <t>03 Cloud Simulators for Dev &amp; CI</t>
        </is>
      </c>
      <c r="C63" s="6" t="inlineStr">
        <is>
          <t>iOS Dev Without a Mac</t>
        </is>
      </c>
      <c r="D63" s="6" t="inlineStr">
        <is>
          <t>ios development on linux</t>
        </is>
      </c>
      <c r="E63" s="6" t="inlineStr">
        <is>
          <t>Phrase</t>
        </is>
      </c>
      <c r="F63" s="7" t="n">
        <v>210</v>
      </c>
      <c r="G63" s="8" t="n"/>
      <c r="H63" s="9">
        <f>IF(G63&lt;&gt;"",G63,F63)</f>
        <v/>
      </c>
      <c r="I63" s="6" t="inlineStr">
        <is>
          <t>Low</t>
        </is>
      </c>
      <c r="J63" s="6" t="inlineStr">
        <is>
          <t>Solution-aware</t>
        </is>
      </c>
      <c r="K63" s="6" t="inlineStr">
        <is>
          <t>TOFU</t>
        </is>
      </c>
      <c r="L63" s="6" t="inlineStr">
        <is>
          <t>Mobile Eng</t>
        </is>
      </c>
      <c r="M63" s="10" t="n">
        <v>3</v>
      </c>
      <c r="N63" s="6" t="inlineStr">
        <is>
          <t>Low</t>
        </is>
      </c>
      <c r="O63" s="11" t="n">
        <v>2</v>
      </c>
      <c r="P63" s="11" t="n">
        <v>6</v>
      </c>
      <c r="Q63" s="6">
        <f>ROUND(Scoring!$B$2*(M63/5)+Scoring!$B$3*MIN(1,LOG10(H63+1)/LOG10(Scoring!$B$4+1))+IF(OR(J63="Commercial",J63="Navigational"),Scoring!$B$5,IF(J63="Solution-aware",Scoring!$B$6,Scoring!$B$7)),0)</f>
        <v/>
      </c>
      <c r="R63" s="6">
        <f>IF(Q63&gt;=Scoring!$B$8,"Tier 1",IF(Q63&gt;=Scoring!$B$9,"Tier 2","Tier 3"))</f>
        <v/>
      </c>
      <c r="S63" s="6" t="inlineStr">
        <is>
          <t>https://appetize.io/ai</t>
        </is>
      </c>
      <c r="T63" s="6" t="inlineStr"/>
    </row>
    <row r="64">
      <c r="A64" s="6" t="n">
        <v>63</v>
      </c>
      <c r="B64" s="6" t="inlineStr">
        <is>
          <t>03 Cloud Simulators for Dev &amp; CI</t>
        </is>
      </c>
      <c r="C64" s="6" t="inlineStr">
        <is>
          <t>iOS Dev Without a Mac</t>
        </is>
      </c>
      <c r="D64" s="6" t="inlineStr">
        <is>
          <t>test ios app on windows</t>
        </is>
      </c>
      <c r="E64" s="6" t="inlineStr">
        <is>
          <t>Phrase</t>
        </is>
      </c>
      <c r="F64" s="7" t="n">
        <v>480</v>
      </c>
      <c r="G64" s="8" t="n"/>
      <c r="H64" s="9">
        <f>IF(G64&lt;&gt;"",G64,F64)</f>
        <v/>
      </c>
      <c r="I64" s="6" t="inlineStr">
        <is>
          <t>Medium</t>
        </is>
      </c>
      <c r="J64" s="6" t="inlineStr">
        <is>
          <t>Solution-aware</t>
        </is>
      </c>
      <c r="K64" s="6" t="inlineStr">
        <is>
          <t>MOFU</t>
        </is>
      </c>
      <c r="L64" s="6" t="inlineStr">
        <is>
          <t>Mobile Eng / QA</t>
        </is>
      </c>
      <c r="M64" s="10" t="n">
        <v>3</v>
      </c>
      <c r="N64" s="6" t="inlineStr">
        <is>
          <t>Medium</t>
        </is>
      </c>
      <c r="O64" s="11" t="n">
        <v>1.5</v>
      </c>
      <c r="P64" s="11" t="n">
        <v>5</v>
      </c>
      <c r="Q64" s="6">
        <f>ROUND(Scoring!$B$2*(M64/5)+Scoring!$B$3*MIN(1,LOG10(H64+1)/LOG10(Scoring!$B$4+1))+IF(OR(J64="Commercial",J64="Navigational"),Scoring!$B$5,IF(J64="Solution-aware",Scoring!$B$6,Scoring!$B$7)),0)</f>
        <v/>
      </c>
      <c r="R64" s="6">
        <f>IF(Q64&gt;=Scoring!$B$8,"Tier 1",IF(Q64&gt;=Scoring!$B$9,"Tier 2","Tier 3"))</f>
        <v/>
      </c>
      <c r="S64" s="6" t="inlineStr">
        <is>
          <t>https://appetize.io/ai</t>
        </is>
      </c>
      <c r="T64" s="6" t="inlineStr"/>
    </row>
    <row r="65">
      <c r="A65" s="6" t="n">
        <v>64</v>
      </c>
      <c r="B65" s="6" t="inlineStr">
        <is>
          <t>04 AI &amp; Agentic Mobile Testing</t>
        </is>
      </c>
      <c r="C65" s="6" t="inlineStr">
        <is>
          <t>AI Mobile Testing</t>
        </is>
      </c>
      <c r="D65" s="6" t="inlineStr">
        <is>
          <t>ai mobile testing</t>
        </is>
      </c>
      <c r="E65" s="6" t="inlineStr">
        <is>
          <t>Phrase</t>
        </is>
      </c>
      <c r="F65" s="7" t="n">
        <v>260</v>
      </c>
      <c r="G65" s="8" t="n"/>
      <c r="H65" s="9">
        <f>IF(G65&lt;&gt;"",G65,F65)</f>
        <v/>
      </c>
      <c r="I65" s="6" t="inlineStr">
        <is>
          <t>Medium</t>
        </is>
      </c>
      <c r="J65" s="6" t="inlineStr">
        <is>
          <t>Commercial</t>
        </is>
      </c>
      <c r="K65" s="6" t="inlineStr">
        <is>
          <t>MOFU</t>
        </is>
      </c>
      <c r="L65" s="6" t="inlineStr">
        <is>
          <t>QA Automation</t>
        </is>
      </c>
      <c r="M65" s="10" t="n">
        <v>5</v>
      </c>
      <c r="N65" s="6" t="inlineStr">
        <is>
          <t>High</t>
        </is>
      </c>
      <c r="O65" s="11" t="n">
        <v>6</v>
      </c>
      <c r="P65" s="11" t="n">
        <v>18</v>
      </c>
      <c r="Q65" s="6">
        <f>ROUND(Scoring!$B$2*(M65/5)+Scoring!$B$3*MIN(1,LOG10(H65+1)/LOG10(Scoring!$B$4+1))+IF(OR(J65="Commercial",J65="Navigational"),Scoring!$B$5,IF(J65="Solution-aware",Scoring!$B$6,Scoring!$B$7)),0)</f>
        <v/>
      </c>
      <c r="R65" s="6">
        <f>IF(Q65&gt;=Scoring!$B$8,"Tier 1",IF(Q65&gt;=Scoring!$B$9,"Tier 2","Tier 3"))</f>
        <v/>
      </c>
      <c r="S65" s="6" t="inlineStr">
        <is>
          <t>https://appetize.io/ai</t>
        </is>
      </c>
      <c r="T65" s="6" t="inlineStr">
        <is>
          <t>Crowded (Drizz, Panto, TestGrid, Momentic); lead with agent angle</t>
        </is>
      </c>
    </row>
    <row r="66">
      <c r="A66" s="6" t="n">
        <v>65</v>
      </c>
      <c r="B66" s="6" t="inlineStr">
        <is>
          <t>04 AI &amp; Agentic Mobile Testing</t>
        </is>
      </c>
      <c r="C66" s="6" t="inlineStr">
        <is>
          <t>AI Mobile Testing</t>
        </is>
      </c>
      <c r="D66" s="6" t="inlineStr">
        <is>
          <t>ai mobile app testing</t>
        </is>
      </c>
      <c r="E66" s="6" t="inlineStr">
        <is>
          <t>Phrase</t>
        </is>
      </c>
      <c r="F66" s="7" t="n">
        <v>210</v>
      </c>
      <c r="G66" s="8" t="n"/>
      <c r="H66" s="9">
        <f>IF(G66&lt;&gt;"",G66,F66)</f>
        <v/>
      </c>
      <c r="I66" s="6" t="inlineStr">
        <is>
          <t>Medium</t>
        </is>
      </c>
      <c r="J66" s="6" t="inlineStr">
        <is>
          <t>Commercial</t>
        </is>
      </c>
      <c r="K66" s="6" t="inlineStr">
        <is>
          <t>MOFU</t>
        </is>
      </c>
      <c r="L66" s="6" t="inlineStr">
        <is>
          <t>QA Automation</t>
        </is>
      </c>
      <c r="M66" s="10" t="n">
        <v>5</v>
      </c>
      <c r="N66" s="6" t="inlineStr">
        <is>
          <t>High</t>
        </is>
      </c>
      <c r="O66" s="11" t="n">
        <v>6</v>
      </c>
      <c r="P66" s="11" t="n">
        <v>18</v>
      </c>
      <c r="Q66" s="6">
        <f>ROUND(Scoring!$B$2*(M66/5)+Scoring!$B$3*MIN(1,LOG10(H66+1)/LOG10(Scoring!$B$4+1))+IF(OR(J66="Commercial",J66="Navigational"),Scoring!$B$5,IF(J66="Solution-aware",Scoring!$B$6,Scoring!$B$7)),0)</f>
        <v/>
      </c>
      <c r="R66" s="6">
        <f>IF(Q66&gt;=Scoring!$B$8,"Tier 1",IF(Q66&gt;=Scoring!$B$9,"Tier 2","Tier 3"))</f>
        <v/>
      </c>
      <c r="S66" s="6" t="inlineStr">
        <is>
          <t>https://appetize.io/ai</t>
        </is>
      </c>
      <c r="T66" s="6" t="inlineStr"/>
    </row>
    <row r="67">
      <c r="A67" s="6" t="n">
        <v>66</v>
      </c>
      <c r="B67" s="6" t="inlineStr">
        <is>
          <t>04 AI &amp; Agentic Mobile Testing</t>
        </is>
      </c>
      <c r="C67" s="6" t="inlineStr">
        <is>
          <t>AI Mobile Testing</t>
        </is>
      </c>
      <c r="D67" s="6" t="inlineStr">
        <is>
          <t>ai app testing</t>
        </is>
      </c>
      <c r="E67" s="6" t="inlineStr">
        <is>
          <t>Phrase</t>
        </is>
      </c>
      <c r="F67" s="7" t="n">
        <v>390</v>
      </c>
      <c r="G67" s="8" t="n"/>
      <c r="H67" s="9">
        <f>IF(G67&lt;&gt;"",G67,F67)</f>
        <v/>
      </c>
      <c r="I67" s="6" t="inlineStr">
        <is>
          <t>Medium</t>
        </is>
      </c>
      <c r="J67" s="6" t="inlineStr">
        <is>
          <t>Commercial</t>
        </is>
      </c>
      <c r="K67" s="6" t="inlineStr">
        <is>
          <t>MOFU</t>
        </is>
      </c>
      <c r="L67" s="6" t="inlineStr">
        <is>
          <t>QA Automation</t>
        </is>
      </c>
      <c r="M67" s="10" t="n">
        <v>4</v>
      </c>
      <c r="N67" s="6" t="inlineStr">
        <is>
          <t>High</t>
        </is>
      </c>
      <c r="O67" s="11" t="n">
        <v>5</v>
      </c>
      <c r="P67" s="11" t="n">
        <v>15</v>
      </c>
      <c r="Q67" s="6">
        <f>ROUND(Scoring!$B$2*(M67/5)+Scoring!$B$3*MIN(1,LOG10(H67+1)/LOG10(Scoring!$B$4+1))+IF(OR(J67="Commercial",J67="Navigational"),Scoring!$B$5,IF(J67="Solution-aware",Scoring!$B$6,Scoring!$B$7)),0)</f>
        <v/>
      </c>
      <c r="R67" s="6">
        <f>IF(Q67&gt;=Scoring!$B$8,"Tier 1",IF(Q67&gt;=Scoring!$B$9,"Tier 2","Tier 3"))</f>
        <v/>
      </c>
      <c r="S67" s="6" t="inlineStr">
        <is>
          <t>https://appetize.io/ai</t>
        </is>
      </c>
      <c r="T67" s="6" t="inlineStr"/>
    </row>
    <row r="68">
      <c r="A68" s="6" t="n">
        <v>67</v>
      </c>
      <c r="B68" s="6" t="inlineStr">
        <is>
          <t>04 AI &amp; Agentic Mobile Testing</t>
        </is>
      </c>
      <c r="C68" s="6" t="inlineStr">
        <is>
          <t>AI Mobile Testing</t>
        </is>
      </c>
      <c r="D68" s="6" t="inlineStr">
        <is>
          <t>ai mobile testing tools</t>
        </is>
      </c>
      <c r="E68" s="6" t="inlineStr">
        <is>
          <t>Phrase</t>
        </is>
      </c>
      <c r="F68" s="7" t="n">
        <v>140</v>
      </c>
      <c r="G68" s="8" t="n"/>
      <c r="H68" s="9">
        <f>IF(G68&lt;&gt;"",G68,F68)</f>
        <v/>
      </c>
      <c r="I68" s="6" t="inlineStr">
        <is>
          <t>Low</t>
        </is>
      </c>
      <c r="J68" s="6" t="inlineStr">
        <is>
          <t>Commercial</t>
        </is>
      </c>
      <c r="K68" s="6" t="inlineStr">
        <is>
          <t>MOFU</t>
        </is>
      </c>
      <c r="L68" s="6" t="inlineStr">
        <is>
          <t>QA Lead</t>
        </is>
      </c>
      <c r="M68" s="10" t="n">
        <v>5</v>
      </c>
      <c r="N68" s="6" t="inlineStr">
        <is>
          <t>High</t>
        </is>
      </c>
      <c r="O68" s="11" t="n">
        <v>6</v>
      </c>
      <c r="P68" s="11" t="n">
        <v>18</v>
      </c>
      <c r="Q68" s="6">
        <f>ROUND(Scoring!$B$2*(M68/5)+Scoring!$B$3*MIN(1,LOG10(H68+1)/LOG10(Scoring!$B$4+1))+IF(OR(J68="Commercial",J68="Navigational"),Scoring!$B$5,IF(J68="Solution-aware",Scoring!$B$6,Scoring!$B$7)),0)</f>
        <v/>
      </c>
      <c r="R68" s="6">
        <f>IF(Q68&gt;=Scoring!$B$8,"Tier 1",IF(Q68&gt;=Scoring!$B$9,"Tier 2","Tier 3"))</f>
        <v/>
      </c>
      <c r="S68" s="6" t="inlineStr">
        <is>
          <t>https://appetize.io/ai</t>
        </is>
      </c>
      <c r="T68" s="6" t="inlineStr"/>
    </row>
    <row r="69">
      <c r="A69" s="6" t="n">
        <v>68</v>
      </c>
      <c r="B69" s="6" t="inlineStr">
        <is>
          <t>04 AI &amp; Agentic Mobile Testing</t>
        </is>
      </c>
      <c r="C69" s="6" t="inlineStr">
        <is>
          <t>AI Mobile Testing</t>
        </is>
      </c>
      <c r="D69" s="6" t="inlineStr">
        <is>
          <t>ai test automation mobile</t>
        </is>
      </c>
      <c r="E69" s="6" t="inlineStr">
        <is>
          <t>Phrase</t>
        </is>
      </c>
      <c r="F69" s="7" t="n">
        <v>70</v>
      </c>
      <c r="G69" s="8" t="n"/>
      <c r="H69" s="9">
        <f>IF(G69&lt;&gt;"",G69,F69)</f>
        <v/>
      </c>
      <c r="I69" s="6" t="inlineStr">
        <is>
          <t>Low</t>
        </is>
      </c>
      <c r="J69" s="6" t="inlineStr">
        <is>
          <t>Commercial</t>
        </is>
      </c>
      <c r="K69" s="6" t="inlineStr">
        <is>
          <t>MOFU</t>
        </is>
      </c>
      <c r="L69" s="6" t="inlineStr">
        <is>
          <t>QA Automation</t>
        </is>
      </c>
      <c r="M69" s="10" t="n">
        <v>5</v>
      </c>
      <c r="N69" s="6" t="inlineStr">
        <is>
          <t>High</t>
        </is>
      </c>
      <c r="O69" s="11" t="n">
        <v>6</v>
      </c>
      <c r="P69" s="11" t="n">
        <v>18</v>
      </c>
      <c r="Q69" s="6">
        <f>ROUND(Scoring!$B$2*(M69/5)+Scoring!$B$3*MIN(1,LOG10(H69+1)/LOG10(Scoring!$B$4+1))+IF(OR(J69="Commercial",J69="Navigational"),Scoring!$B$5,IF(J69="Solution-aware",Scoring!$B$6,Scoring!$B$7)),0)</f>
        <v/>
      </c>
      <c r="R69" s="6">
        <f>IF(Q69&gt;=Scoring!$B$8,"Tier 1",IF(Q69&gt;=Scoring!$B$9,"Tier 2","Tier 3"))</f>
        <v/>
      </c>
      <c r="S69" s="6" t="inlineStr">
        <is>
          <t>https://appetize.io/ai</t>
        </is>
      </c>
      <c r="T69" s="6" t="inlineStr"/>
    </row>
    <row r="70">
      <c r="A70" s="6" t="n">
        <v>69</v>
      </c>
      <c r="B70" s="6" t="inlineStr">
        <is>
          <t>04 AI &amp; Agentic Mobile Testing</t>
        </is>
      </c>
      <c r="C70" s="6" t="inlineStr">
        <is>
          <t>AI Mobile Testing</t>
        </is>
      </c>
      <c r="D70" s="6" t="inlineStr">
        <is>
          <t>ai test automation</t>
        </is>
      </c>
      <c r="E70" s="6" t="inlineStr">
        <is>
          <t>Phrase</t>
        </is>
      </c>
      <c r="F70" s="7" t="n">
        <v>1000</v>
      </c>
      <c r="G70" s="8" t="n"/>
      <c r="H70" s="9">
        <f>IF(G70&lt;&gt;"",G70,F70)</f>
        <v/>
      </c>
      <c r="I70" s="6" t="inlineStr">
        <is>
          <t>Medium</t>
        </is>
      </c>
      <c r="J70" s="6" t="inlineStr">
        <is>
          <t>Commercial</t>
        </is>
      </c>
      <c r="K70" s="6" t="inlineStr">
        <is>
          <t>TOFU</t>
        </is>
      </c>
      <c r="L70" s="6" t="inlineStr">
        <is>
          <t>QA Lead</t>
        </is>
      </c>
      <c r="M70" s="10" t="n">
        <v>3</v>
      </c>
      <c r="N70" s="6" t="inlineStr">
        <is>
          <t>High</t>
        </is>
      </c>
      <c r="O70" s="11" t="n">
        <v>6</v>
      </c>
      <c r="P70" s="11" t="n">
        <v>20</v>
      </c>
      <c r="Q70" s="6">
        <f>ROUND(Scoring!$B$2*(M70/5)+Scoring!$B$3*MIN(1,LOG10(H70+1)/LOG10(Scoring!$B$4+1))+IF(OR(J70="Commercial",J70="Navigational"),Scoring!$B$5,IF(J70="Solution-aware",Scoring!$B$6,Scoring!$B$7)),0)</f>
        <v/>
      </c>
      <c r="R70" s="6">
        <f>IF(Q70&gt;=Scoring!$B$8,"Tier 1",IF(Q70&gt;=Scoring!$B$9,"Tier 2","Tier 3"))</f>
        <v/>
      </c>
      <c r="S70" s="6" t="inlineStr">
        <is>
          <t>https://appetize.io/ai</t>
        </is>
      </c>
      <c r="T70" s="6" t="inlineStr">
        <is>
          <t>Broad; mostly web; use as awareness only</t>
        </is>
      </c>
    </row>
    <row r="71">
      <c r="A71" s="6" t="n">
        <v>70</v>
      </c>
      <c r="B71" s="6" t="inlineStr">
        <is>
          <t>04 AI &amp; Agentic Mobile Testing</t>
        </is>
      </c>
      <c r="C71" s="6" t="inlineStr">
        <is>
          <t>Agentic QA</t>
        </is>
      </c>
      <c r="D71" s="6" t="inlineStr">
        <is>
          <t>agentic testing</t>
        </is>
      </c>
      <c r="E71" s="6" t="inlineStr">
        <is>
          <t>Phrase</t>
        </is>
      </c>
      <c r="F71" s="7" t="n">
        <v>390</v>
      </c>
      <c r="G71" s="8" t="n"/>
      <c r="H71" s="9">
        <f>IF(G71&lt;&gt;"",G71,F71)</f>
        <v/>
      </c>
      <c r="I71" s="6" t="inlineStr">
        <is>
          <t>Low</t>
        </is>
      </c>
      <c r="J71" s="6" t="inlineStr">
        <is>
          <t>Solution-aware</t>
        </is>
      </c>
      <c r="K71" s="6" t="inlineStr">
        <is>
          <t>TOFU</t>
        </is>
      </c>
      <c r="L71" s="6" t="inlineStr">
        <is>
          <t>QA Lead</t>
        </is>
      </c>
      <c r="M71" s="10" t="n">
        <v>4</v>
      </c>
      <c r="N71" s="6" t="inlineStr">
        <is>
          <t>Medium</t>
        </is>
      </c>
      <c r="O71" s="11" t="n">
        <v>4</v>
      </c>
      <c r="P71" s="11" t="n">
        <v>12</v>
      </c>
      <c r="Q71" s="6">
        <f>ROUND(Scoring!$B$2*(M71/5)+Scoring!$B$3*MIN(1,LOG10(H71+1)/LOG10(Scoring!$B$4+1))+IF(OR(J71="Commercial",J71="Navigational"),Scoring!$B$5,IF(J71="Solution-aware",Scoring!$B$6,Scoring!$B$7)),0)</f>
        <v/>
      </c>
      <c r="R71" s="6">
        <f>IF(Q71&gt;=Scoring!$B$8,"Tier 1",IF(Q71&gt;=Scoring!$B$9,"Tier 2","Tier 3"))</f>
        <v/>
      </c>
      <c r="S71" s="6" t="inlineStr">
        <is>
          <t>https://appetize.io/ai</t>
        </is>
      </c>
      <c r="T71" s="6" t="inlineStr"/>
    </row>
    <row r="72">
      <c r="A72" s="6" t="n">
        <v>71</v>
      </c>
      <c r="B72" s="6" t="inlineStr">
        <is>
          <t>04 AI &amp; Agentic Mobile Testing</t>
        </is>
      </c>
      <c r="C72" s="6" t="inlineStr">
        <is>
          <t>Agentic QA</t>
        </is>
      </c>
      <c r="D72" s="6" t="inlineStr">
        <is>
          <t>agentic qa</t>
        </is>
      </c>
      <c r="E72" s="6" t="inlineStr">
        <is>
          <t>Phrase</t>
        </is>
      </c>
      <c r="F72" s="7" t="n">
        <v>170</v>
      </c>
      <c r="G72" s="8" t="n"/>
      <c r="H72" s="9">
        <f>IF(G72&lt;&gt;"",G72,F72)</f>
        <v/>
      </c>
      <c r="I72" s="6" t="inlineStr">
        <is>
          <t>Low</t>
        </is>
      </c>
      <c r="J72" s="6" t="inlineStr">
        <is>
          <t>Solution-aware</t>
        </is>
      </c>
      <c r="K72" s="6" t="inlineStr">
        <is>
          <t>TOFU</t>
        </is>
      </c>
      <c r="L72" s="6" t="inlineStr">
        <is>
          <t>QA Lead</t>
        </is>
      </c>
      <c r="M72" s="10" t="n">
        <v>4</v>
      </c>
      <c r="N72" s="6" t="inlineStr">
        <is>
          <t>Medium</t>
        </is>
      </c>
      <c r="O72" s="11" t="n">
        <v>4</v>
      </c>
      <c r="P72" s="11" t="n">
        <v>12</v>
      </c>
      <c r="Q72" s="6">
        <f>ROUND(Scoring!$B$2*(M72/5)+Scoring!$B$3*MIN(1,LOG10(H72+1)/LOG10(Scoring!$B$4+1))+IF(OR(J72="Commercial",J72="Navigational"),Scoring!$B$5,IF(J72="Solution-aware",Scoring!$B$6,Scoring!$B$7)),0)</f>
        <v/>
      </c>
      <c r="R72" s="6">
        <f>IF(Q72&gt;=Scoring!$B$8,"Tier 1",IF(Q72&gt;=Scoring!$B$9,"Tier 2","Tier 3"))</f>
        <v/>
      </c>
      <c r="S72" s="6" t="inlineStr">
        <is>
          <t>https://appetize.io/ai</t>
        </is>
      </c>
      <c r="T72" s="6" t="inlineStr"/>
    </row>
    <row r="73">
      <c r="A73" s="6" t="n">
        <v>72</v>
      </c>
      <c r="B73" s="6" t="inlineStr">
        <is>
          <t>04 AI &amp; Agentic Mobile Testing</t>
        </is>
      </c>
      <c r="C73" s="6" t="inlineStr">
        <is>
          <t>Agentic QA</t>
        </is>
      </c>
      <c r="D73" s="6" t="inlineStr">
        <is>
          <t>agentic mobile testing</t>
        </is>
      </c>
      <c r="E73" s="6" t="inlineStr">
        <is>
          <t>Phrase</t>
        </is>
      </c>
      <c r="F73" s="7" t="n">
        <v>30</v>
      </c>
      <c r="G73" s="8" t="n"/>
      <c r="H73" s="9">
        <f>IF(G73&lt;&gt;"",G73,F73)</f>
        <v/>
      </c>
      <c r="I73" s="6" t="inlineStr">
        <is>
          <t>Low</t>
        </is>
      </c>
      <c r="J73" s="6" t="inlineStr">
        <is>
          <t>Commercial</t>
        </is>
      </c>
      <c r="K73" s="6" t="inlineStr">
        <is>
          <t>MOFU</t>
        </is>
      </c>
      <c r="L73" s="6" t="inlineStr">
        <is>
          <t>QA Lead</t>
        </is>
      </c>
      <c r="M73" s="10" t="n">
        <v>5</v>
      </c>
      <c r="N73" s="6" t="inlineStr">
        <is>
          <t>Low</t>
        </is>
      </c>
      <c r="O73" s="11" t="n">
        <v>4</v>
      </c>
      <c r="P73" s="11" t="n">
        <v>12</v>
      </c>
      <c r="Q73" s="6">
        <f>ROUND(Scoring!$B$2*(M73/5)+Scoring!$B$3*MIN(1,LOG10(H73+1)/LOG10(Scoring!$B$4+1))+IF(OR(J73="Commercial",J73="Navigational"),Scoring!$B$5,IF(J73="Solution-aware",Scoring!$B$6,Scoring!$B$7)),0)</f>
        <v/>
      </c>
      <c r="R73" s="6">
        <f>IF(Q73&gt;=Scoring!$B$8,"Tier 1",IF(Q73&gt;=Scoring!$B$9,"Tier 2","Tier 3"))</f>
        <v/>
      </c>
      <c r="S73" s="6" t="inlineStr">
        <is>
          <t>https://appetize.io/ai</t>
        </is>
      </c>
      <c r="T73" s="6" t="inlineStr"/>
    </row>
    <row r="74">
      <c r="A74" s="6" t="n">
        <v>73</v>
      </c>
      <c r="B74" s="6" t="inlineStr">
        <is>
          <t>04 AI &amp; Agentic Mobile Testing</t>
        </is>
      </c>
      <c r="C74" s="6" t="inlineStr">
        <is>
          <t>Agentic QA</t>
        </is>
      </c>
      <c r="D74" s="6" t="inlineStr">
        <is>
          <t>ai qa agent mobile</t>
        </is>
      </c>
      <c r="E74" s="6" t="inlineStr">
        <is>
          <t>Phrase</t>
        </is>
      </c>
      <c r="F74" s="7" t="n">
        <v>30</v>
      </c>
      <c r="G74" s="8" t="n"/>
      <c r="H74" s="9">
        <f>IF(G74&lt;&gt;"",G74,F74)</f>
        <v/>
      </c>
      <c r="I74" s="6" t="inlineStr">
        <is>
          <t>Low</t>
        </is>
      </c>
      <c r="J74" s="6" t="inlineStr">
        <is>
          <t>Commercial</t>
        </is>
      </c>
      <c r="K74" s="6" t="inlineStr">
        <is>
          <t>MOFU</t>
        </is>
      </c>
      <c r="L74" s="6" t="inlineStr">
        <is>
          <t>QA Lead</t>
        </is>
      </c>
      <c r="M74" s="10" t="n">
        <v>5</v>
      </c>
      <c r="N74" s="6" t="inlineStr">
        <is>
          <t>Low</t>
        </is>
      </c>
      <c r="O74" s="11" t="n">
        <v>4</v>
      </c>
      <c r="P74" s="11" t="n">
        <v>12</v>
      </c>
      <c r="Q74" s="6">
        <f>ROUND(Scoring!$B$2*(M74/5)+Scoring!$B$3*MIN(1,LOG10(H74+1)/LOG10(Scoring!$B$4+1))+IF(OR(J74="Commercial",J74="Navigational"),Scoring!$B$5,IF(J74="Solution-aware",Scoring!$B$6,Scoring!$B$7)),0)</f>
        <v/>
      </c>
      <c r="R74" s="6">
        <f>IF(Q74&gt;=Scoring!$B$8,"Tier 1",IF(Q74&gt;=Scoring!$B$9,"Tier 2","Tier 3"))</f>
        <v/>
      </c>
      <c r="S74" s="6" t="inlineStr">
        <is>
          <t>https://appetize.io/ai</t>
        </is>
      </c>
      <c r="T74" s="6" t="inlineStr"/>
    </row>
    <row r="75">
      <c r="A75" s="6" t="n">
        <v>74</v>
      </c>
      <c r="B75" s="6" t="inlineStr">
        <is>
          <t>04 AI &amp; Agentic Mobile Testing</t>
        </is>
      </c>
      <c r="C75" s="6" t="inlineStr">
        <is>
          <t>Verify AI-Written Code</t>
        </is>
      </c>
      <c r="D75" s="6" t="inlineStr">
        <is>
          <t>test ai generated code</t>
        </is>
      </c>
      <c r="E75" s="6" t="inlineStr">
        <is>
          <t>Phrase</t>
        </is>
      </c>
      <c r="F75" s="7" t="n">
        <v>110</v>
      </c>
      <c r="G75" s="8" t="n"/>
      <c r="H75" s="9">
        <f>IF(G75&lt;&gt;"",G75,F75)</f>
        <v/>
      </c>
      <c r="I75" s="6" t="inlineStr">
        <is>
          <t>Low</t>
        </is>
      </c>
      <c r="J75" s="6" t="inlineStr">
        <is>
          <t>Solution-aware</t>
        </is>
      </c>
      <c r="K75" s="6" t="inlineStr">
        <is>
          <t>TOFU</t>
        </is>
      </c>
      <c r="L75" s="6" t="inlineStr">
        <is>
          <t>Eng Manager / Head of Mobile</t>
        </is>
      </c>
      <c r="M75" s="10" t="n">
        <v>4</v>
      </c>
      <c r="N75" s="6" t="inlineStr">
        <is>
          <t>Low</t>
        </is>
      </c>
      <c r="O75" s="11" t="n">
        <v>3</v>
      </c>
      <c r="P75" s="11" t="n">
        <v>9</v>
      </c>
      <c r="Q75" s="6">
        <f>ROUND(Scoring!$B$2*(M75/5)+Scoring!$B$3*MIN(1,LOG10(H75+1)/LOG10(Scoring!$B$4+1))+IF(OR(J75="Commercial",J75="Navigational"),Scoring!$B$5,IF(J75="Solution-aware",Scoring!$B$6,Scoring!$B$7)),0)</f>
        <v/>
      </c>
      <c r="R75" s="6">
        <f>IF(Q75&gt;=Scoring!$B$8,"Tier 1",IF(Q75&gt;=Scoring!$B$9,"Tier 2","Tier 3"))</f>
        <v/>
      </c>
      <c r="S75" s="6" t="inlineStr">
        <is>
          <t>https://appetize.io/ai</t>
        </is>
      </c>
      <c r="T75" s="6" t="inlineStr">
        <is>
          <t>Pain framing: agents need to verify their own work</t>
        </is>
      </c>
    </row>
    <row r="76">
      <c r="A76" s="6" t="n">
        <v>75</v>
      </c>
      <c r="B76" s="6" t="inlineStr">
        <is>
          <t>04 AI &amp; Agentic Mobile Testing</t>
        </is>
      </c>
      <c r="C76" s="6" t="inlineStr">
        <is>
          <t>Verify AI-Written Code</t>
        </is>
      </c>
      <c r="D76" s="6" t="inlineStr">
        <is>
          <t>verify ai generated code</t>
        </is>
      </c>
      <c r="E76" s="6" t="inlineStr">
        <is>
          <t>Phrase</t>
        </is>
      </c>
      <c r="F76" s="7" t="n">
        <v>70</v>
      </c>
      <c r="G76" s="8" t="n"/>
      <c r="H76" s="9">
        <f>IF(G76&lt;&gt;"",G76,F76)</f>
        <v/>
      </c>
      <c r="I76" s="6" t="inlineStr">
        <is>
          <t>Low</t>
        </is>
      </c>
      <c r="J76" s="6" t="inlineStr">
        <is>
          <t>Solution-aware</t>
        </is>
      </c>
      <c r="K76" s="6" t="inlineStr">
        <is>
          <t>TOFU</t>
        </is>
      </c>
      <c r="L76" s="6" t="inlineStr">
        <is>
          <t>Eng Manager / Head of Mobile</t>
        </is>
      </c>
      <c r="M76" s="10" t="n">
        <v>4</v>
      </c>
      <c r="N76" s="6" t="inlineStr">
        <is>
          <t>Low</t>
        </is>
      </c>
      <c r="O76" s="11" t="n">
        <v>3</v>
      </c>
      <c r="P76" s="11" t="n">
        <v>9</v>
      </c>
      <c r="Q76" s="6">
        <f>ROUND(Scoring!$B$2*(M76/5)+Scoring!$B$3*MIN(1,LOG10(H76+1)/LOG10(Scoring!$B$4+1))+IF(OR(J76="Commercial",J76="Navigational"),Scoring!$B$5,IF(J76="Solution-aware",Scoring!$B$6,Scoring!$B$7)),0)</f>
        <v/>
      </c>
      <c r="R76" s="6">
        <f>IF(Q76&gt;=Scoring!$B$8,"Tier 1",IF(Q76&gt;=Scoring!$B$9,"Tier 2","Tier 3"))</f>
        <v/>
      </c>
      <c r="S76" s="6" t="inlineStr">
        <is>
          <t>https://appetize.io/ai</t>
        </is>
      </c>
      <c r="T76" s="6" t="inlineStr"/>
    </row>
    <row r="77">
      <c r="A77" s="6" t="n">
        <v>76</v>
      </c>
      <c r="B77" s="6" t="inlineStr">
        <is>
          <t>04 AI &amp; Agentic Mobile Testing</t>
        </is>
      </c>
      <c r="C77" s="6" t="inlineStr">
        <is>
          <t>Verify AI-Written Code</t>
        </is>
      </c>
      <c r="D77" s="6" t="inlineStr">
        <is>
          <t>vibe coding mobile app</t>
        </is>
      </c>
      <c r="E77" s="6" t="inlineStr">
        <is>
          <t>Phrase</t>
        </is>
      </c>
      <c r="F77" s="7" t="n">
        <v>590</v>
      </c>
      <c r="G77" s="8" t="n"/>
      <c r="H77" s="9">
        <f>IF(G77&lt;&gt;"",G77,F77)</f>
        <v/>
      </c>
      <c r="I77" s="6" t="inlineStr">
        <is>
          <t>Medium</t>
        </is>
      </c>
      <c r="J77" s="6" t="inlineStr">
        <is>
          <t>Solution-aware</t>
        </is>
      </c>
      <c r="K77" s="6" t="inlineStr">
        <is>
          <t>TOFU</t>
        </is>
      </c>
      <c r="L77" s="6" t="inlineStr">
        <is>
          <t>Indie / Founder Dev</t>
        </is>
      </c>
      <c r="M77" s="10" t="n">
        <v>3</v>
      </c>
      <c r="N77" s="6" t="inlineStr">
        <is>
          <t>Medium</t>
        </is>
      </c>
      <c r="O77" s="11" t="n">
        <v>2</v>
      </c>
      <c r="P77" s="11" t="n">
        <v>6</v>
      </c>
      <c r="Q77" s="6">
        <f>ROUND(Scoring!$B$2*(M77/5)+Scoring!$B$3*MIN(1,LOG10(H77+1)/LOG10(Scoring!$B$4+1))+IF(OR(J77="Commercial",J77="Navigational"),Scoring!$B$5,IF(J77="Solution-aware",Scoring!$B$6,Scoring!$B$7)),0)</f>
        <v/>
      </c>
      <c r="R77" s="6">
        <f>IF(Q77&gt;=Scoring!$B$8,"Tier 1",IF(Q77&gt;=Scoring!$B$9,"Tier 2","Tier 3"))</f>
        <v/>
      </c>
      <c r="S77" s="6" t="inlineStr">
        <is>
          <t>https://appetize.io/ai</t>
        </is>
      </c>
      <c r="T77" s="6" t="inlineStr">
        <is>
          <t>Broader audience; cap budget</t>
        </is>
      </c>
    </row>
    <row r="78">
      <c r="A78" s="6" t="n">
        <v>77</v>
      </c>
      <c r="B78" s="6" t="inlineStr">
        <is>
          <t>04 AI &amp; Agentic Mobile Testing</t>
        </is>
      </c>
      <c r="C78" s="6" t="inlineStr">
        <is>
          <t>Verify AI-Written Code</t>
        </is>
      </c>
      <c r="D78" s="6" t="inlineStr">
        <is>
          <t>vibe code ios app</t>
        </is>
      </c>
      <c r="E78" s="6" t="inlineStr">
        <is>
          <t>Phrase</t>
        </is>
      </c>
      <c r="F78" s="7" t="n">
        <v>170</v>
      </c>
      <c r="G78" s="8" t="n"/>
      <c r="H78" s="9">
        <f>IF(G78&lt;&gt;"",G78,F78)</f>
        <v/>
      </c>
      <c r="I78" s="6" t="inlineStr">
        <is>
          <t>Low</t>
        </is>
      </c>
      <c r="J78" s="6" t="inlineStr">
        <is>
          <t>Solution-aware</t>
        </is>
      </c>
      <c r="K78" s="6" t="inlineStr">
        <is>
          <t>TOFU</t>
        </is>
      </c>
      <c r="L78" s="6" t="inlineStr">
        <is>
          <t>Indie / Founder Dev</t>
        </is>
      </c>
      <c r="M78" s="10" t="n">
        <v>3</v>
      </c>
      <c r="N78" s="6" t="inlineStr">
        <is>
          <t>Low</t>
        </is>
      </c>
      <c r="O78" s="11" t="n">
        <v>2</v>
      </c>
      <c r="P78" s="11" t="n">
        <v>6</v>
      </c>
      <c r="Q78" s="6">
        <f>ROUND(Scoring!$B$2*(M78/5)+Scoring!$B$3*MIN(1,LOG10(H78+1)/LOG10(Scoring!$B$4+1))+IF(OR(J78="Commercial",J78="Navigational"),Scoring!$B$5,IF(J78="Solution-aware",Scoring!$B$6,Scoring!$B$7)),0)</f>
        <v/>
      </c>
      <c r="R78" s="6">
        <f>IF(Q78&gt;=Scoring!$B$8,"Tier 1",IF(Q78&gt;=Scoring!$B$9,"Tier 2","Tier 3"))</f>
        <v/>
      </c>
      <c r="S78" s="6" t="inlineStr">
        <is>
          <t>https://appetize.io/ai</t>
        </is>
      </c>
      <c r="T78" s="6" t="inlineStr"/>
    </row>
    <row r="79">
      <c r="A79" s="6" t="n">
        <v>78</v>
      </c>
      <c r="B79" s="6" t="inlineStr">
        <is>
          <t>05 Competitor Conquest</t>
        </is>
      </c>
      <c r="C79" s="6" t="inlineStr">
        <is>
          <t>Limrun</t>
        </is>
      </c>
      <c r="D79" s="6" t="inlineStr">
        <is>
          <t>limrun</t>
        </is>
      </c>
      <c r="E79" s="6" t="inlineStr">
        <is>
          <t>Exact</t>
        </is>
      </c>
      <c r="F79" s="7" t="n">
        <v>90</v>
      </c>
      <c r="G79" s="8" t="n"/>
      <c r="H79" s="9">
        <f>IF(G79&lt;&gt;"",G79,F79)</f>
        <v/>
      </c>
      <c r="I79" s="6" t="inlineStr">
        <is>
          <t>Low</t>
        </is>
      </c>
      <c r="J79" s="6" t="inlineStr">
        <is>
          <t>Navigational</t>
        </is>
      </c>
      <c r="K79" s="6" t="inlineStr">
        <is>
          <t>BOFU</t>
        </is>
      </c>
      <c r="L79" s="6" t="inlineStr">
        <is>
          <t>Mobile Eng / AI Eng</t>
        </is>
      </c>
      <c r="M79" s="10" t="n">
        <v>5</v>
      </c>
      <c r="N79" s="6" t="inlineStr">
        <is>
          <t>Low</t>
        </is>
      </c>
      <c r="O79" s="11" t="n">
        <v>2</v>
      </c>
      <c r="P79" s="11" t="n">
        <v>6</v>
      </c>
      <c r="Q79" s="6">
        <f>ROUND(Scoring!$B$2*(M79/5)+Scoring!$B$3*MIN(1,LOG10(H79+1)/LOG10(Scoring!$B$4+1))+IF(OR(J79="Commercial",J79="Navigational"),Scoring!$B$5,IF(J79="Solution-aware",Scoring!$B$6,Scoring!$B$7)),0)</f>
        <v/>
      </c>
      <c r="R79" s="6">
        <f>IF(Q79&gt;=Scoring!$B$8,"Tier 1",IF(Q79&gt;=Scoring!$B$9,"Tier 2","Tier 3"))</f>
        <v/>
      </c>
      <c r="S79" s="6" t="inlineStr">
        <is>
          <t>https://appetize.io/ai</t>
        </is>
      </c>
      <c r="T79" s="6" t="inlineStr">
        <is>
          <t>YC; MCP + CLI + remote Xcode. Do NOT use name in ad text</t>
        </is>
      </c>
    </row>
    <row r="80">
      <c r="A80" s="6" t="n">
        <v>79</v>
      </c>
      <c r="B80" s="6" t="inlineStr">
        <is>
          <t>05 Competitor Conquest</t>
        </is>
      </c>
      <c r="C80" s="6" t="inlineStr">
        <is>
          <t>Limrun</t>
        </is>
      </c>
      <c r="D80" s="6" t="inlineStr">
        <is>
          <t>limrun alternative</t>
        </is>
      </c>
      <c r="E80" s="6" t="inlineStr">
        <is>
          <t>Phrase</t>
        </is>
      </c>
      <c r="F80" s="7" t="n">
        <v>10</v>
      </c>
      <c r="G80" s="8" t="n"/>
      <c r="H80" s="9">
        <f>IF(G80&lt;&gt;"",G80,F80)</f>
        <v/>
      </c>
      <c r="I80" s="6" t="inlineStr">
        <is>
          <t>Low</t>
        </is>
      </c>
      <c r="J80" s="6" t="inlineStr">
        <is>
          <t>Commercial</t>
        </is>
      </c>
      <c r="K80" s="6" t="inlineStr">
        <is>
          <t>BOFU</t>
        </is>
      </c>
      <c r="L80" s="6" t="inlineStr">
        <is>
          <t>Mobile Eng / AI Eng</t>
        </is>
      </c>
      <c r="M80" s="10" t="n">
        <v>5</v>
      </c>
      <c r="N80" s="6" t="inlineStr">
        <is>
          <t>Low</t>
        </is>
      </c>
      <c r="O80" s="11" t="n">
        <v>2</v>
      </c>
      <c r="P80" s="11" t="n">
        <v>6</v>
      </c>
      <c r="Q80" s="6">
        <f>ROUND(Scoring!$B$2*(M80/5)+Scoring!$B$3*MIN(1,LOG10(H80+1)/LOG10(Scoring!$B$4+1))+IF(OR(J80="Commercial",J80="Navigational"),Scoring!$B$5,IF(J80="Solution-aware",Scoring!$B$6,Scoring!$B$7)),0)</f>
        <v/>
      </c>
      <c r="R80" s="6">
        <f>IF(Q80&gt;=Scoring!$B$8,"Tier 1",IF(Q80&gt;=Scoring!$B$9,"Tier 2","Tier 3"))</f>
        <v/>
      </c>
      <c r="S80" s="6" t="inlineStr">
        <is>
          <t>https://appetize.io/ai</t>
        </is>
      </c>
      <c r="T80" s="6" t="inlineStr"/>
    </row>
    <row r="81">
      <c r="A81" s="6" t="n">
        <v>80</v>
      </c>
      <c r="B81" s="6" t="inlineStr">
        <is>
          <t>05 Competitor Conquest</t>
        </is>
      </c>
      <c r="C81" s="6" t="inlineStr">
        <is>
          <t>Expo EAS Simulator</t>
        </is>
      </c>
      <c r="D81" s="6" t="inlineStr">
        <is>
          <t>eas simulator</t>
        </is>
      </c>
      <c r="E81" s="6" t="inlineStr">
        <is>
          <t>Phrase</t>
        </is>
      </c>
      <c r="F81" s="7" t="n">
        <v>50</v>
      </c>
      <c r="G81" s="8" t="n"/>
      <c r="H81" s="9">
        <f>IF(G81&lt;&gt;"",G81,F81)</f>
        <v/>
      </c>
      <c r="I81" s="6" t="inlineStr">
        <is>
          <t>Low</t>
        </is>
      </c>
      <c r="J81" s="6" t="inlineStr">
        <is>
          <t>Navigational</t>
        </is>
      </c>
      <c r="K81" s="6" t="inlineStr">
        <is>
          <t>BOFU</t>
        </is>
      </c>
      <c r="L81" s="6" t="inlineStr">
        <is>
          <t>React Native Eng</t>
        </is>
      </c>
      <c r="M81" s="10" t="n">
        <v>5</v>
      </c>
      <c r="N81" s="6" t="inlineStr">
        <is>
          <t>Low</t>
        </is>
      </c>
      <c r="O81" s="11" t="n">
        <v>2</v>
      </c>
      <c r="P81" s="11" t="n">
        <v>6</v>
      </c>
      <c r="Q81" s="6">
        <f>ROUND(Scoring!$B$2*(M81/5)+Scoring!$B$3*MIN(1,LOG10(H81+1)/LOG10(Scoring!$B$4+1))+IF(OR(J81="Commercial",J81="Navigational"),Scoring!$B$5,IF(J81="Solution-aware",Scoring!$B$6,Scoring!$B$7)),0)</f>
        <v/>
      </c>
      <c r="R81" s="6">
        <f>IF(Q81&gt;=Scoring!$B$8,"Tier 1",IF(Q81&gt;=Scoring!$B$9,"Tier 2","Tier 3"))</f>
        <v/>
      </c>
      <c r="S81" s="6" t="inlineStr">
        <is>
          <t>https://appetize.io/ai</t>
        </is>
      </c>
      <c r="T81" s="6" t="inlineStr">
        <is>
          <t>Early access/waitlist – capture people waiting</t>
        </is>
      </c>
    </row>
    <row r="82">
      <c r="A82" s="6" t="n">
        <v>81</v>
      </c>
      <c r="B82" s="6" t="inlineStr">
        <is>
          <t>05 Competitor Conquest</t>
        </is>
      </c>
      <c r="C82" s="6" t="inlineStr">
        <is>
          <t>Expo EAS Simulator</t>
        </is>
      </c>
      <c r="D82" s="6" t="inlineStr">
        <is>
          <t>expo cloud simulator</t>
        </is>
      </c>
      <c r="E82" s="6" t="inlineStr">
        <is>
          <t>Phrase</t>
        </is>
      </c>
      <c r="F82" s="7" t="n">
        <v>20</v>
      </c>
      <c r="G82" s="8" t="n"/>
      <c r="H82" s="9">
        <f>IF(G82&lt;&gt;"",G82,F82)</f>
        <v/>
      </c>
      <c r="I82" s="6" t="inlineStr">
        <is>
          <t>Low</t>
        </is>
      </c>
      <c r="J82" s="6" t="inlineStr">
        <is>
          <t>Commercial</t>
        </is>
      </c>
      <c r="K82" s="6" t="inlineStr">
        <is>
          <t>BOFU</t>
        </is>
      </c>
      <c r="L82" s="6" t="inlineStr">
        <is>
          <t>React Native Eng</t>
        </is>
      </c>
      <c r="M82" s="10" t="n">
        <v>5</v>
      </c>
      <c r="N82" s="6" t="inlineStr">
        <is>
          <t>Low</t>
        </is>
      </c>
      <c r="O82" s="11" t="n">
        <v>2</v>
      </c>
      <c r="P82" s="11" t="n">
        <v>6</v>
      </c>
      <c r="Q82" s="6">
        <f>ROUND(Scoring!$B$2*(M82/5)+Scoring!$B$3*MIN(1,LOG10(H82+1)/LOG10(Scoring!$B$4+1))+IF(OR(J82="Commercial",J82="Navigational"),Scoring!$B$5,IF(J82="Solution-aware",Scoring!$B$6,Scoring!$B$7)),0)</f>
        <v/>
      </c>
      <c r="R82" s="6">
        <f>IF(Q82&gt;=Scoring!$B$8,"Tier 1",IF(Q82&gt;=Scoring!$B$9,"Tier 2","Tier 3"))</f>
        <v/>
      </c>
      <c r="S82" s="6" t="inlineStr">
        <is>
          <t>https://appetize.io/ai</t>
        </is>
      </c>
      <c r="T82" s="6" t="inlineStr"/>
    </row>
    <row r="83">
      <c r="A83" s="6" t="n">
        <v>82</v>
      </c>
      <c r="B83" s="6" t="inlineStr">
        <is>
          <t>05 Competitor Conquest</t>
        </is>
      </c>
      <c r="C83" s="6" t="inlineStr">
        <is>
          <t>Expo EAS Simulator</t>
        </is>
      </c>
      <c r="D83" s="6" t="inlineStr">
        <is>
          <t>expo simulator</t>
        </is>
      </c>
      <c r="E83" s="6" t="inlineStr">
        <is>
          <t>Phrase</t>
        </is>
      </c>
      <c r="F83" s="7" t="n">
        <v>170</v>
      </c>
      <c r="G83" s="8" t="n"/>
      <c r="H83" s="9">
        <f>IF(G83&lt;&gt;"",G83,F83)</f>
        <v/>
      </c>
      <c r="I83" s="6" t="inlineStr">
        <is>
          <t>Low</t>
        </is>
      </c>
      <c r="J83" s="6" t="inlineStr">
        <is>
          <t>Solution-aware</t>
        </is>
      </c>
      <c r="K83" s="6" t="inlineStr">
        <is>
          <t>MOFU</t>
        </is>
      </c>
      <c r="L83" s="6" t="inlineStr">
        <is>
          <t>React Native Eng</t>
        </is>
      </c>
      <c r="M83" s="10" t="n">
        <v>3</v>
      </c>
      <c r="N83" s="6" t="inlineStr">
        <is>
          <t>Low</t>
        </is>
      </c>
      <c r="O83" s="11" t="n">
        <v>1.5</v>
      </c>
      <c r="P83" s="11" t="n">
        <v>5</v>
      </c>
      <c r="Q83" s="6">
        <f>ROUND(Scoring!$B$2*(M83/5)+Scoring!$B$3*MIN(1,LOG10(H83+1)/LOG10(Scoring!$B$4+1))+IF(OR(J83="Commercial",J83="Navigational"),Scoring!$B$5,IF(J83="Solution-aware",Scoring!$B$6,Scoring!$B$7)),0)</f>
        <v/>
      </c>
      <c r="R83" s="6">
        <f>IF(Q83&gt;=Scoring!$B$8,"Tier 1",IF(Q83&gt;=Scoring!$B$9,"Tier 2","Tier 3"))</f>
        <v/>
      </c>
      <c r="S83" s="6" t="inlineStr">
        <is>
          <t>https://appetize.io/ai</t>
        </is>
      </c>
      <c r="T83" s="6" t="inlineStr">
        <is>
          <t>Many want local Expo Go; Exact + negatives</t>
        </is>
      </c>
    </row>
    <row r="84">
      <c r="A84" s="6" t="n">
        <v>83</v>
      </c>
      <c r="B84" s="6" t="inlineStr">
        <is>
          <t>05 Competitor Conquest</t>
        </is>
      </c>
      <c r="C84" s="6" t="inlineStr">
        <is>
          <t>Device Clouds</t>
        </is>
      </c>
      <c r="D84" s="6" t="inlineStr">
        <is>
          <t>browserstack alternative</t>
        </is>
      </c>
      <c r="E84" s="6" t="inlineStr">
        <is>
          <t>Phrase</t>
        </is>
      </c>
      <c r="F84" s="7" t="n">
        <v>1000</v>
      </c>
      <c r="G84" s="8" t="n"/>
      <c r="H84" s="9">
        <f>IF(G84&lt;&gt;"",G84,F84)</f>
        <v/>
      </c>
      <c r="I84" s="6" t="inlineStr">
        <is>
          <t>Medium</t>
        </is>
      </c>
      <c r="J84" s="6" t="inlineStr">
        <is>
          <t>Commercial</t>
        </is>
      </c>
      <c r="K84" s="6" t="inlineStr">
        <is>
          <t>BOFU</t>
        </is>
      </c>
      <c r="L84" s="6" t="inlineStr">
        <is>
          <t>QA Lead</t>
        </is>
      </c>
      <c r="M84" s="10" t="n">
        <v>4</v>
      </c>
      <c r="N84" s="6" t="inlineStr">
        <is>
          <t>High</t>
        </is>
      </c>
      <c r="O84" s="11" t="n">
        <v>6</v>
      </c>
      <c r="P84" s="11" t="n">
        <v>18</v>
      </c>
      <c r="Q84" s="6">
        <f>ROUND(Scoring!$B$2*(M84/5)+Scoring!$B$3*MIN(1,LOG10(H84+1)/LOG10(Scoring!$B$4+1))+IF(OR(J84="Commercial",J84="Navigational"),Scoring!$B$5,IF(J84="Solution-aware",Scoring!$B$6,Scoring!$B$7)),0)</f>
        <v/>
      </c>
      <c r="R84" s="6">
        <f>IF(Q84&gt;=Scoring!$B$8,"Tier 1",IF(Q84&gt;=Scoring!$B$9,"Tier 2","Tier 3"))</f>
        <v/>
      </c>
      <c r="S84" s="6" t="inlineStr">
        <is>
          <t>https://appetize.io/ai</t>
        </is>
      </c>
      <c r="T84" s="6" t="inlineStr"/>
    </row>
    <row r="85">
      <c r="A85" s="6" t="n">
        <v>84</v>
      </c>
      <c r="B85" s="6" t="inlineStr">
        <is>
          <t>05 Competitor Conquest</t>
        </is>
      </c>
      <c r="C85" s="6" t="inlineStr">
        <is>
          <t>Device Clouds</t>
        </is>
      </c>
      <c r="D85" s="6" t="inlineStr">
        <is>
          <t>browserstack mcp</t>
        </is>
      </c>
      <c r="E85" s="6" t="inlineStr">
        <is>
          <t>Phrase</t>
        </is>
      </c>
      <c r="F85" s="7" t="n">
        <v>170</v>
      </c>
      <c r="G85" s="8" t="n"/>
      <c r="H85" s="9">
        <f>IF(G85&lt;&gt;"",G85,F85)</f>
        <v/>
      </c>
      <c r="I85" s="6" t="inlineStr">
        <is>
          <t>Low</t>
        </is>
      </c>
      <c r="J85" s="6" t="inlineStr">
        <is>
          <t>Commercial</t>
        </is>
      </c>
      <c r="K85" s="6" t="inlineStr">
        <is>
          <t>MOFU</t>
        </is>
      </c>
      <c r="L85" s="6" t="inlineStr">
        <is>
          <t>QA Automation</t>
        </is>
      </c>
      <c r="M85" s="10" t="n">
        <v>5</v>
      </c>
      <c r="N85" s="6" t="inlineStr">
        <is>
          <t>Low</t>
        </is>
      </c>
      <c r="O85" s="11" t="n">
        <v>3</v>
      </c>
      <c r="P85" s="11" t="n">
        <v>9</v>
      </c>
      <c r="Q85" s="6">
        <f>ROUND(Scoring!$B$2*(M85/5)+Scoring!$B$3*MIN(1,LOG10(H85+1)/LOG10(Scoring!$B$4+1))+IF(OR(J85="Commercial",J85="Navigational"),Scoring!$B$5,IF(J85="Solution-aware",Scoring!$B$6,Scoring!$B$7)),0)</f>
        <v/>
      </c>
      <c r="R85" s="6">
        <f>IF(Q85&gt;=Scoring!$B$8,"Tier 1",IF(Q85&gt;=Scoring!$B$9,"Tier 2","Tier 3"))</f>
        <v/>
      </c>
      <c r="S85" s="6" t="inlineStr">
        <is>
          <t>https://appetize.io/ai</t>
        </is>
      </c>
      <c r="T85" s="6" t="inlineStr">
        <is>
          <t>Shows MCP intent on incumbent</t>
        </is>
      </c>
    </row>
    <row r="86">
      <c r="A86" s="6" t="n">
        <v>85</v>
      </c>
      <c r="B86" s="6" t="inlineStr">
        <is>
          <t>05 Competitor Conquest</t>
        </is>
      </c>
      <c r="C86" s="6" t="inlineStr">
        <is>
          <t>Device Clouds</t>
        </is>
      </c>
      <c r="D86" s="6" t="inlineStr">
        <is>
          <t>sauce labs alternative</t>
        </is>
      </c>
      <c r="E86" s="6" t="inlineStr">
        <is>
          <t>Phrase</t>
        </is>
      </c>
      <c r="F86" s="7" t="n">
        <v>210</v>
      </c>
      <c r="G86" s="8" t="n"/>
      <c r="H86" s="9">
        <f>IF(G86&lt;&gt;"",G86,F86)</f>
        <v/>
      </c>
      <c r="I86" s="6" t="inlineStr">
        <is>
          <t>Low</t>
        </is>
      </c>
      <c r="J86" s="6" t="inlineStr">
        <is>
          <t>Commercial</t>
        </is>
      </c>
      <c r="K86" s="6" t="inlineStr">
        <is>
          <t>BOFU</t>
        </is>
      </c>
      <c r="L86" s="6" t="inlineStr">
        <is>
          <t>QA Lead</t>
        </is>
      </c>
      <c r="M86" s="10" t="n">
        <v>4</v>
      </c>
      <c r="N86" s="6" t="inlineStr">
        <is>
          <t>High</t>
        </is>
      </c>
      <c r="O86" s="11" t="n">
        <v>5</v>
      </c>
      <c r="P86" s="11" t="n">
        <v>15</v>
      </c>
      <c r="Q86" s="6">
        <f>ROUND(Scoring!$B$2*(M86/5)+Scoring!$B$3*MIN(1,LOG10(H86+1)/LOG10(Scoring!$B$4+1))+IF(OR(J86="Commercial",J86="Navigational"),Scoring!$B$5,IF(J86="Solution-aware",Scoring!$B$6,Scoring!$B$7)),0)</f>
        <v/>
      </c>
      <c r="R86" s="6">
        <f>IF(Q86&gt;=Scoring!$B$8,"Tier 1",IF(Q86&gt;=Scoring!$B$9,"Tier 2","Tier 3"))</f>
        <v/>
      </c>
      <c r="S86" s="6" t="inlineStr">
        <is>
          <t>https://appetize.io/ai</t>
        </is>
      </c>
      <c r="T86" s="6" t="inlineStr"/>
    </row>
    <row r="87">
      <c r="A87" s="6" t="n">
        <v>86</v>
      </c>
      <c r="B87" s="6" t="inlineStr">
        <is>
          <t>05 Competitor Conquest</t>
        </is>
      </c>
      <c r="C87" s="6" t="inlineStr">
        <is>
          <t>Device Clouds</t>
        </is>
      </c>
      <c r="D87" s="6" t="inlineStr">
        <is>
          <t>lambdatest alternative</t>
        </is>
      </c>
      <c r="E87" s="6" t="inlineStr">
        <is>
          <t>Phrase</t>
        </is>
      </c>
      <c r="F87" s="7" t="n">
        <v>170</v>
      </c>
      <c r="G87" s="8" t="n"/>
      <c r="H87" s="9">
        <f>IF(G87&lt;&gt;"",G87,F87)</f>
        <v/>
      </c>
      <c r="I87" s="6" t="inlineStr">
        <is>
          <t>Low</t>
        </is>
      </c>
      <c r="J87" s="6" t="inlineStr">
        <is>
          <t>Commercial</t>
        </is>
      </c>
      <c r="K87" s="6" t="inlineStr">
        <is>
          <t>BOFU</t>
        </is>
      </c>
      <c r="L87" s="6" t="inlineStr">
        <is>
          <t>QA Lead</t>
        </is>
      </c>
      <c r="M87" s="10" t="n">
        <v>4</v>
      </c>
      <c r="N87" s="6" t="inlineStr">
        <is>
          <t>High</t>
        </is>
      </c>
      <c r="O87" s="11" t="n">
        <v>5</v>
      </c>
      <c r="P87" s="11" t="n">
        <v>15</v>
      </c>
      <c r="Q87" s="6">
        <f>ROUND(Scoring!$B$2*(M87/5)+Scoring!$B$3*MIN(1,LOG10(H87+1)/LOG10(Scoring!$B$4+1))+IF(OR(J87="Commercial",J87="Navigational"),Scoring!$B$5,IF(J87="Solution-aware",Scoring!$B$6,Scoring!$B$7)),0)</f>
        <v/>
      </c>
      <c r="R87" s="6">
        <f>IF(Q87&gt;=Scoring!$B$8,"Tier 1",IF(Q87&gt;=Scoring!$B$9,"Tier 2","Tier 3"))</f>
        <v/>
      </c>
      <c r="S87" s="6" t="inlineStr">
        <is>
          <t>https://appetize.io/ai</t>
        </is>
      </c>
      <c r="T87" s="6" t="inlineStr"/>
    </row>
    <row r="88">
      <c r="A88" s="6" t="n">
        <v>87</v>
      </c>
      <c r="B88" s="6" t="inlineStr">
        <is>
          <t>05 Competitor Conquest</t>
        </is>
      </c>
      <c r="C88" s="6" t="inlineStr">
        <is>
          <t>Device Clouds</t>
        </is>
      </c>
      <c r="D88" s="6" t="inlineStr">
        <is>
          <t>firebase test lab alternative</t>
        </is>
      </c>
      <c r="E88" s="6" t="inlineStr">
        <is>
          <t>Phrase</t>
        </is>
      </c>
      <c r="F88" s="7" t="n">
        <v>20</v>
      </c>
      <c r="G88" s="8" t="n"/>
      <c r="H88" s="9">
        <f>IF(G88&lt;&gt;"",G88,F88)</f>
        <v/>
      </c>
      <c r="I88" s="6" t="inlineStr">
        <is>
          <t>Low</t>
        </is>
      </c>
      <c r="J88" s="6" t="inlineStr">
        <is>
          <t>Commercial</t>
        </is>
      </c>
      <c r="K88" s="6" t="inlineStr">
        <is>
          <t>BOFU</t>
        </is>
      </c>
      <c r="L88" s="6" t="inlineStr">
        <is>
          <t>Android Eng</t>
        </is>
      </c>
      <c r="M88" s="10" t="n">
        <v>4</v>
      </c>
      <c r="N88" s="6" t="inlineStr">
        <is>
          <t>Low</t>
        </is>
      </c>
      <c r="O88" s="11" t="n">
        <v>3</v>
      </c>
      <c r="P88" s="11" t="n">
        <v>9</v>
      </c>
      <c r="Q88" s="6">
        <f>ROUND(Scoring!$B$2*(M88/5)+Scoring!$B$3*MIN(1,LOG10(H88+1)/LOG10(Scoring!$B$4+1))+IF(OR(J88="Commercial",J88="Navigational"),Scoring!$B$5,IF(J88="Solution-aware",Scoring!$B$6,Scoring!$B$7)),0)</f>
        <v/>
      </c>
      <c r="R88" s="6">
        <f>IF(Q88&gt;=Scoring!$B$8,"Tier 1",IF(Q88&gt;=Scoring!$B$9,"Tier 2","Tier 3"))</f>
        <v/>
      </c>
      <c r="S88" s="6" t="inlineStr">
        <is>
          <t>https://appetize.io/ai</t>
        </is>
      </c>
      <c r="T88" s="6" t="inlineStr"/>
    </row>
    <row r="89">
      <c r="A89" s="6" t="n">
        <v>88</v>
      </c>
      <c r="B89" s="6" t="inlineStr">
        <is>
          <t>05 Competitor Conquest</t>
        </is>
      </c>
      <c r="C89" s="6" t="inlineStr">
        <is>
          <t>Device Clouds</t>
        </is>
      </c>
      <c r="D89" s="6" t="inlineStr">
        <is>
          <t>aws device farm alternative</t>
        </is>
      </c>
      <c r="E89" s="6" t="inlineStr">
        <is>
          <t>Phrase</t>
        </is>
      </c>
      <c r="F89" s="7" t="n">
        <v>50</v>
      </c>
      <c r="G89" s="8" t="n"/>
      <c r="H89" s="9">
        <f>IF(G89&lt;&gt;"",G89,F89)</f>
        <v/>
      </c>
      <c r="I89" s="6" t="inlineStr">
        <is>
          <t>Low</t>
        </is>
      </c>
      <c r="J89" s="6" t="inlineStr">
        <is>
          <t>Commercial</t>
        </is>
      </c>
      <c r="K89" s="6" t="inlineStr">
        <is>
          <t>BOFU</t>
        </is>
      </c>
      <c r="L89" s="6" t="inlineStr">
        <is>
          <t>Platform / DevEx</t>
        </is>
      </c>
      <c r="M89" s="10" t="n">
        <v>4</v>
      </c>
      <c r="N89" s="6" t="inlineStr">
        <is>
          <t>Low</t>
        </is>
      </c>
      <c r="O89" s="11" t="n">
        <v>3</v>
      </c>
      <c r="P89" s="11" t="n">
        <v>9</v>
      </c>
      <c r="Q89" s="6">
        <f>ROUND(Scoring!$B$2*(M89/5)+Scoring!$B$3*MIN(1,LOG10(H89+1)/LOG10(Scoring!$B$4+1))+IF(OR(J89="Commercial",J89="Navigational"),Scoring!$B$5,IF(J89="Solution-aware",Scoring!$B$6,Scoring!$B$7)),0)</f>
        <v/>
      </c>
      <c r="R89" s="6">
        <f>IF(Q89&gt;=Scoring!$B$8,"Tier 1",IF(Q89&gt;=Scoring!$B$9,"Tier 2","Tier 3"))</f>
        <v/>
      </c>
      <c r="S89" s="6" t="inlineStr">
        <is>
          <t>https://appetize.io/ai</t>
        </is>
      </c>
      <c r="T89" s="6" t="inlineStr"/>
    </row>
    <row r="90">
      <c r="A90" s="6" t="n">
        <v>89</v>
      </c>
      <c r="B90" s="6" t="inlineStr">
        <is>
          <t>05 Competitor Conquest</t>
        </is>
      </c>
      <c r="C90" s="6" t="inlineStr">
        <is>
          <t>Device Clouds</t>
        </is>
      </c>
      <c r="D90" s="6" t="inlineStr">
        <is>
          <t>genymotion cloud</t>
        </is>
      </c>
      <c r="E90" s="6" t="inlineStr">
        <is>
          <t>Phrase</t>
        </is>
      </c>
      <c r="F90" s="7" t="n">
        <v>140</v>
      </c>
      <c r="G90" s="8" t="n"/>
      <c r="H90" s="9">
        <f>IF(G90&lt;&gt;"",G90,F90)</f>
        <v/>
      </c>
      <c r="I90" s="6" t="inlineStr">
        <is>
          <t>Low</t>
        </is>
      </c>
      <c r="J90" s="6" t="inlineStr">
        <is>
          <t>Commercial</t>
        </is>
      </c>
      <c r="K90" s="6" t="inlineStr">
        <is>
          <t>BOFU</t>
        </is>
      </c>
      <c r="L90" s="6" t="inlineStr">
        <is>
          <t>Android Eng</t>
        </is>
      </c>
      <c r="M90" s="10" t="n">
        <v>4</v>
      </c>
      <c r="N90" s="6" t="inlineStr">
        <is>
          <t>Medium</t>
        </is>
      </c>
      <c r="O90" s="11" t="n">
        <v>3</v>
      </c>
      <c r="P90" s="11" t="n">
        <v>9</v>
      </c>
      <c r="Q90" s="6">
        <f>ROUND(Scoring!$B$2*(M90/5)+Scoring!$B$3*MIN(1,LOG10(H90+1)/LOG10(Scoring!$B$4+1))+IF(OR(J90="Commercial",J90="Navigational"),Scoring!$B$5,IF(J90="Solution-aware",Scoring!$B$6,Scoring!$B$7)),0)</f>
        <v/>
      </c>
      <c r="R90" s="6">
        <f>IF(Q90&gt;=Scoring!$B$8,"Tier 1",IF(Q90&gt;=Scoring!$B$9,"Tier 2","Tier 3"))</f>
        <v/>
      </c>
      <c r="S90" s="6" t="inlineStr">
        <is>
          <t>https://appetize.io/ai</t>
        </is>
      </c>
      <c r="T90" s="6" t="inlineStr"/>
    </row>
    <row r="91">
      <c r="A91" s="6" t="n">
        <v>90</v>
      </c>
      <c r="B91" s="6" t="inlineStr">
        <is>
          <t>05 Competitor Conquest</t>
        </is>
      </c>
      <c r="C91" s="6" t="inlineStr">
        <is>
          <t>Remote Xcode</t>
        </is>
      </c>
      <c r="D91" s="6" t="inlineStr">
        <is>
          <t>xcode cloud alternative</t>
        </is>
      </c>
      <c r="E91" s="6" t="inlineStr">
        <is>
          <t>Phrase</t>
        </is>
      </c>
      <c r="F91" s="7" t="n">
        <v>90</v>
      </c>
      <c r="G91" s="8" t="n"/>
      <c r="H91" s="9">
        <f>IF(G91&lt;&gt;"",G91,F91)</f>
        <v/>
      </c>
      <c r="I91" s="6" t="inlineStr">
        <is>
          <t>Low</t>
        </is>
      </c>
      <c r="J91" s="6" t="inlineStr">
        <is>
          <t>Commercial</t>
        </is>
      </c>
      <c r="K91" s="6" t="inlineStr">
        <is>
          <t>BOFU</t>
        </is>
      </c>
      <c r="L91" s="6" t="inlineStr">
        <is>
          <t>iOS Eng</t>
        </is>
      </c>
      <c r="M91" s="10" t="n">
        <v>3</v>
      </c>
      <c r="N91" s="6" t="inlineStr">
        <is>
          <t>Medium</t>
        </is>
      </c>
      <c r="O91" s="11" t="n">
        <v>3</v>
      </c>
      <c r="P91" s="11" t="n">
        <v>9</v>
      </c>
      <c r="Q91" s="6">
        <f>ROUND(Scoring!$B$2*(M91/5)+Scoring!$B$3*MIN(1,LOG10(H91+1)/LOG10(Scoring!$B$4+1))+IF(OR(J91="Commercial",J91="Navigational"),Scoring!$B$5,IF(J91="Solution-aware",Scoring!$B$6,Scoring!$B$7)),0)</f>
        <v/>
      </c>
      <c r="R91" s="6">
        <f>IF(Q91&gt;=Scoring!$B$8,"Tier 1",IF(Q91&gt;=Scoring!$B$9,"Tier 2","Tier 3"))</f>
        <v/>
      </c>
      <c r="S91" s="6" t="inlineStr">
        <is>
          <t>https://appetize.io/ai</t>
        </is>
      </c>
      <c r="T91" s="6" t="inlineStr">
        <is>
          <t>Build is 'coming soon' – hold until launch</t>
        </is>
      </c>
    </row>
    <row r="92">
      <c r="A92" s="6" t="n">
        <v>91</v>
      </c>
      <c r="B92" s="6" t="inlineStr">
        <is>
          <t>05 Competitor Conquest</t>
        </is>
      </c>
      <c r="C92" s="6" t="inlineStr">
        <is>
          <t>Remote Xcode</t>
        </is>
      </c>
      <c r="D92" s="6" t="inlineStr">
        <is>
          <t>agentcloud ios</t>
        </is>
      </c>
      <c r="E92" s="6" t="inlineStr">
        <is>
          <t>Phrase</t>
        </is>
      </c>
      <c r="F92" s="7" t="n">
        <v>10</v>
      </c>
      <c r="G92" s="8" t="n"/>
      <c r="H92" s="9">
        <f>IF(G92&lt;&gt;"",G92,F92)</f>
        <v/>
      </c>
      <c r="I92" s="6" t="inlineStr">
        <is>
          <t>Low</t>
        </is>
      </c>
      <c r="J92" s="6" t="inlineStr">
        <is>
          <t>Navigational</t>
        </is>
      </c>
      <c r="K92" s="6" t="inlineStr">
        <is>
          <t>BOFU</t>
        </is>
      </c>
      <c r="L92" s="6" t="inlineStr">
        <is>
          <t>iOS Eng</t>
        </is>
      </c>
      <c r="M92" s="10" t="n">
        <v>4</v>
      </c>
      <c r="N92" s="6" t="inlineStr">
        <is>
          <t>Low</t>
        </is>
      </c>
      <c r="O92" s="11" t="n">
        <v>2</v>
      </c>
      <c r="P92" s="11" t="n">
        <v>6</v>
      </c>
      <c r="Q92" s="6">
        <f>ROUND(Scoring!$B$2*(M92/5)+Scoring!$B$3*MIN(1,LOG10(H92+1)/LOG10(Scoring!$B$4+1))+IF(OR(J92="Commercial",J92="Navigational"),Scoring!$B$5,IF(J92="Solution-aware",Scoring!$B$6,Scoring!$B$7)),0)</f>
        <v/>
      </c>
      <c r="R92" s="6">
        <f>IF(Q92&gt;=Scoring!$B$8,"Tier 1",IF(Q92&gt;=Scoring!$B$9,"Tier 2","Tier 3"))</f>
        <v/>
      </c>
      <c r="S92" s="6" t="inlineStr">
        <is>
          <t>https://appetize.io/ai</t>
        </is>
      </c>
      <c r="T92" s="6" t="inlineStr">
        <is>
          <t>Hosted iOS simulator MCP competitor</t>
        </is>
      </c>
    </row>
    <row r="93">
      <c r="A93" s="6" t="n">
        <v>92</v>
      </c>
      <c r="B93" s="6" t="inlineStr">
        <is>
          <t>06 PR Preview &amp; Build Review</t>
        </is>
      </c>
      <c r="C93" s="6" t="inlineStr">
        <is>
          <t>PR Preview</t>
        </is>
      </c>
      <c r="D93" s="6" t="inlineStr">
        <is>
          <t>mobile app pr preview</t>
        </is>
      </c>
      <c r="E93" s="6" t="inlineStr">
        <is>
          <t>Phrase</t>
        </is>
      </c>
      <c r="F93" s="7" t="n">
        <v>20</v>
      </c>
      <c r="G93" s="8" t="n"/>
      <c r="H93" s="9">
        <f>IF(G93&lt;&gt;"",G93,F93)</f>
        <v/>
      </c>
      <c r="I93" s="6" t="inlineStr">
        <is>
          <t>Low</t>
        </is>
      </c>
      <c r="J93" s="6" t="inlineStr">
        <is>
          <t>Commercial</t>
        </is>
      </c>
      <c r="K93" s="6" t="inlineStr">
        <is>
          <t>BOFU</t>
        </is>
      </c>
      <c r="L93" s="6" t="inlineStr">
        <is>
          <t>Eng Manager / Head of Mobile</t>
        </is>
      </c>
      <c r="M93" s="10" t="n">
        <v>5</v>
      </c>
      <c r="N93" s="6" t="inlineStr">
        <is>
          <t>Low</t>
        </is>
      </c>
      <c r="O93" s="11" t="n">
        <v>3</v>
      </c>
      <c r="P93" s="11" t="n">
        <v>9</v>
      </c>
      <c r="Q93" s="6">
        <f>ROUND(Scoring!$B$2*(M93/5)+Scoring!$B$3*MIN(1,LOG10(H93+1)/LOG10(Scoring!$B$4+1))+IF(OR(J93="Commercial",J93="Navigational"),Scoring!$B$5,IF(J93="Solution-aware",Scoring!$B$6,Scoring!$B$7)),0)</f>
        <v/>
      </c>
      <c r="R93" s="6">
        <f>IF(Q93&gt;=Scoring!$B$8,"Tier 1",IF(Q93&gt;=Scoring!$B$9,"Tier 2","Tier 3"))</f>
        <v/>
      </c>
      <c r="S93" s="6" t="inlineStr">
        <is>
          <t>https://appetize.io/ai</t>
        </is>
      </c>
      <c r="T93" s="6" t="inlineStr"/>
    </row>
    <row r="94">
      <c r="A94" s="6" t="n">
        <v>93</v>
      </c>
      <c r="B94" s="6" t="inlineStr">
        <is>
          <t>06 PR Preview &amp; Build Review</t>
        </is>
      </c>
      <c r="C94" s="6" t="inlineStr">
        <is>
          <t>PR Preview</t>
        </is>
      </c>
      <c r="D94" s="6" t="inlineStr">
        <is>
          <t>preview mobile app pull request</t>
        </is>
      </c>
      <c r="E94" s="6" t="inlineStr">
        <is>
          <t>Phrase</t>
        </is>
      </c>
      <c r="F94" s="7" t="n">
        <v>20</v>
      </c>
      <c r="G94" s="8" t="n"/>
      <c r="H94" s="9">
        <f>IF(G94&lt;&gt;"",G94,F94)</f>
        <v/>
      </c>
      <c r="I94" s="6" t="inlineStr">
        <is>
          <t>Low</t>
        </is>
      </c>
      <c r="J94" s="6" t="inlineStr">
        <is>
          <t>Commercial</t>
        </is>
      </c>
      <c r="K94" s="6" t="inlineStr">
        <is>
          <t>BOFU</t>
        </is>
      </c>
      <c r="L94" s="6" t="inlineStr">
        <is>
          <t>Eng Manager / Head of Mobile</t>
        </is>
      </c>
      <c r="M94" s="10" t="n">
        <v>5</v>
      </c>
      <c r="N94" s="6" t="inlineStr">
        <is>
          <t>Low</t>
        </is>
      </c>
      <c r="O94" s="11" t="n">
        <v>3</v>
      </c>
      <c r="P94" s="11" t="n">
        <v>9</v>
      </c>
      <c r="Q94" s="6">
        <f>ROUND(Scoring!$B$2*(M94/5)+Scoring!$B$3*MIN(1,LOG10(H94+1)/LOG10(Scoring!$B$4+1))+IF(OR(J94="Commercial",J94="Navigational"),Scoring!$B$5,IF(J94="Solution-aware",Scoring!$B$6,Scoring!$B$7)),0)</f>
        <v/>
      </c>
      <c r="R94" s="6">
        <f>IF(Q94&gt;=Scoring!$B$8,"Tier 1",IF(Q94&gt;=Scoring!$B$9,"Tier 2","Tier 3"))</f>
        <v/>
      </c>
      <c r="S94" s="6" t="inlineStr">
        <is>
          <t>https://appetize.io/ai</t>
        </is>
      </c>
      <c r="T94" s="6" t="inlineStr"/>
    </row>
    <row r="95">
      <c r="A95" s="6" t="n">
        <v>94</v>
      </c>
      <c r="B95" s="6" t="inlineStr">
        <is>
          <t>06 PR Preview &amp; Build Review</t>
        </is>
      </c>
      <c r="C95" s="6" t="inlineStr">
        <is>
          <t>PR Preview</t>
        </is>
      </c>
      <c r="D95" s="6" t="inlineStr">
        <is>
          <t>share ios build link</t>
        </is>
      </c>
      <c r="E95" s="6" t="inlineStr">
        <is>
          <t>Phrase</t>
        </is>
      </c>
      <c r="F95" s="7" t="n">
        <v>50</v>
      </c>
      <c r="G95" s="8" t="n"/>
      <c r="H95" s="9">
        <f>IF(G95&lt;&gt;"",G95,F95)</f>
        <v/>
      </c>
      <c r="I95" s="6" t="inlineStr">
        <is>
          <t>Low</t>
        </is>
      </c>
      <c r="J95" s="6" t="inlineStr">
        <is>
          <t>Solution-aware</t>
        </is>
      </c>
      <c r="K95" s="6" t="inlineStr">
        <is>
          <t>MOFU</t>
        </is>
      </c>
      <c r="L95" s="6" t="inlineStr">
        <is>
          <t>Design / PM</t>
        </is>
      </c>
      <c r="M95" s="10" t="n">
        <v>3</v>
      </c>
      <c r="N95" s="6" t="inlineStr">
        <is>
          <t>Low</t>
        </is>
      </c>
      <c r="O95" s="11" t="n">
        <v>2</v>
      </c>
      <c r="P95" s="11" t="n">
        <v>6</v>
      </c>
      <c r="Q95" s="6">
        <f>ROUND(Scoring!$B$2*(M95/5)+Scoring!$B$3*MIN(1,LOG10(H95+1)/LOG10(Scoring!$B$4+1))+IF(OR(J95="Commercial",J95="Navigational"),Scoring!$B$5,IF(J95="Solution-aware",Scoring!$B$6,Scoring!$B$7)),0)</f>
        <v/>
      </c>
      <c r="R95" s="6">
        <f>IF(Q95&gt;=Scoring!$B$8,"Tier 1",IF(Q95&gt;=Scoring!$B$9,"Tier 2","Tier 3"))</f>
        <v/>
      </c>
      <c r="S95" s="6" t="inlineStr">
        <is>
          <t>https://appetize.io/ai</t>
        </is>
      </c>
      <c r="T95" s="6" t="inlineStr"/>
    </row>
    <row r="96">
      <c r="A96" s="6" t="n">
        <v>95</v>
      </c>
      <c r="B96" s="6" t="inlineStr">
        <is>
          <t>06 PR Preview &amp; Build Review</t>
        </is>
      </c>
      <c r="C96" s="6" t="inlineStr">
        <is>
          <t>PR Preview</t>
        </is>
      </c>
      <c r="D96" s="6" t="inlineStr">
        <is>
          <t>share android build without play store</t>
        </is>
      </c>
      <c r="E96" s="6" t="inlineStr">
        <is>
          <t>Phrase</t>
        </is>
      </c>
      <c r="F96" s="7" t="n">
        <v>50</v>
      </c>
      <c r="G96" s="8" t="n"/>
      <c r="H96" s="9">
        <f>IF(G96&lt;&gt;"",G96,F96)</f>
        <v/>
      </c>
      <c r="I96" s="6" t="inlineStr">
        <is>
          <t>Low</t>
        </is>
      </c>
      <c r="J96" s="6" t="inlineStr">
        <is>
          <t>Solution-aware</t>
        </is>
      </c>
      <c r="K96" s="6" t="inlineStr">
        <is>
          <t>MOFU</t>
        </is>
      </c>
      <c r="L96" s="6" t="inlineStr">
        <is>
          <t>Design / PM</t>
        </is>
      </c>
      <c r="M96" s="10" t="n">
        <v>3</v>
      </c>
      <c r="N96" s="6" t="inlineStr">
        <is>
          <t>Low</t>
        </is>
      </c>
      <c r="O96" s="11" t="n">
        <v>2</v>
      </c>
      <c r="P96" s="11" t="n">
        <v>6</v>
      </c>
      <c r="Q96" s="6">
        <f>ROUND(Scoring!$B$2*(M96/5)+Scoring!$B$3*MIN(1,LOG10(H96+1)/LOG10(Scoring!$B$4+1))+IF(OR(J96="Commercial",J96="Navigational"),Scoring!$B$5,IF(J96="Solution-aware",Scoring!$B$6,Scoring!$B$7)),0)</f>
        <v/>
      </c>
      <c r="R96" s="6">
        <f>IF(Q96&gt;=Scoring!$B$8,"Tier 1",IF(Q96&gt;=Scoring!$B$9,"Tier 2","Tier 3"))</f>
        <v/>
      </c>
      <c r="S96" s="6" t="inlineStr">
        <is>
          <t>https://appetize.io/ai</t>
        </is>
      </c>
      <c r="T96" s="6" t="inlineStr"/>
    </row>
    <row r="97">
      <c r="A97" s="6" t="n">
        <v>96</v>
      </c>
      <c r="B97" s="6" t="inlineStr">
        <is>
          <t>06 PR Preview &amp; Build Review</t>
        </is>
      </c>
      <c r="C97" s="6" t="inlineStr">
        <is>
          <t>PR Preview</t>
        </is>
      </c>
      <c r="D97" s="6" t="inlineStr">
        <is>
          <t>testflight alternative</t>
        </is>
      </c>
      <c r="E97" s="6" t="inlineStr">
        <is>
          <t>Phrase</t>
        </is>
      </c>
      <c r="F97" s="7" t="n">
        <v>320</v>
      </c>
      <c r="G97" s="8" t="n"/>
      <c r="H97" s="9">
        <f>IF(G97&lt;&gt;"",G97,F97)</f>
        <v/>
      </c>
      <c r="I97" s="6" t="inlineStr">
        <is>
          <t>Medium</t>
        </is>
      </c>
      <c r="J97" s="6" t="inlineStr">
        <is>
          <t>Commercial</t>
        </is>
      </c>
      <c r="K97" s="6" t="inlineStr">
        <is>
          <t>MOFU</t>
        </is>
      </c>
      <c r="L97" s="6" t="inlineStr">
        <is>
          <t>Mobile Eng</t>
        </is>
      </c>
      <c r="M97" s="10" t="n">
        <v>3</v>
      </c>
      <c r="N97" s="6" t="inlineStr">
        <is>
          <t>Medium</t>
        </is>
      </c>
      <c r="O97" s="11" t="n">
        <v>2</v>
      </c>
      <c r="P97" s="11" t="n">
        <v>7</v>
      </c>
      <c r="Q97" s="6">
        <f>ROUND(Scoring!$B$2*(M97/5)+Scoring!$B$3*MIN(1,LOG10(H97+1)/LOG10(Scoring!$B$4+1))+IF(OR(J97="Commercial",J97="Navigational"),Scoring!$B$5,IF(J97="Solution-aware",Scoring!$B$6,Scoring!$B$7)),0)</f>
        <v/>
      </c>
      <c r="R97" s="6">
        <f>IF(Q97&gt;=Scoring!$B$8,"Tier 1",IF(Q97&gt;=Scoring!$B$9,"Tier 2","Tier 3"))</f>
        <v/>
      </c>
      <c r="S97" s="6" t="inlineStr">
        <is>
          <t>https://appetize.io/ai</t>
        </is>
      </c>
      <c r="T97" s="6" t="inlineStr"/>
    </row>
    <row r="99">
      <c r="D99" s="12" t="inlineStr">
        <is>
          <t>TOTAL (Volume Used)</t>
        </is>
      </c>
      <c r="H99" s="13">
        <f>SUM(H2:H97)</f>
        <v/>
      </c>
    </row>
    <row r="100">
      <c r="D100" s="14" t="inlineStr">
        <is>
          <t>Legend: blue = estimate/input · yellow = fill in from Keyword Planner · black = formula</t>
        </is>
      </c>
    </row>
  </sheetData>
  <autoFilter ref="A1:T97"/>
  <conditionalFormatting sqref="R2:R97">
    <cfRule type="cellIs" priority="1" operator="equal" dxfId="0">
      <formula>"Tier 1"</formula>
    </cfRule>
    <cfRule type="cellIs" priority="2" operator="equal" dxfId="1">
      <formula>"Tier 2"</formula>
    </cfRule>
    <cfRule type="cellIs" priority="3" operator="equal" dxfId="2">
      <formula>"Tier 3"</formula>
    </cfRule>
  </conditionalFormatting>
  <dataValidations count="2">
    <dataValidation sqref="E2:E97" showDropDown="0" showInputMessage="0" showErrorMessage="0" allowBlank="1" type="list">
      <formula1>"Exact,Phrase,Broad"</formula1>
    </dataValidation>
    <dataValidation sqref="M2:M97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1" customWidth="1" min="3" max="3"/>
    <col width="13" customWidth="1" min="4" max="4"/>
    <col width="12" customWidth="1" min="5" max="5"/>
    <col width="9" customWidth="1" min="6" max="6"/>
    <col width="13" customWidth="1" min="7" max="7"/>
    <col width="13" customWidth="1" min="8" max="8"/>
    <col width="60" customWidth="1" min="9" max="9"/>
  </cols>
  <sheetData>
    <row r="1">
      <c r="A1" s="5" t="inlineStr">
        <is>
          <t>Campaign</t>
        </is>
      </c>
      <c r="B1" s="5" t="inlineStr">
        <is>
          <t>Ad Group</t>
        </is>
      </c>
      <c r="C1" s="5" t="inlineStr">
        <is>
          <t># Keywords</t>
        </is>
      </c>
      <c r="D1" s="5" t="inlineStr">
        <is>
          <t>Total Volume Used</t>
        </is>
      </c>
      <c r="E1" s="5" t="inlineStr">
        <is>
          <t>Avg Priority Score</t>
        </is>
      </c>
      <c r="F1" s="5" t="inlineStr">
        <is>
          <t># Tier 1</t>
        </is>
      </c>
      <c r="G1" s="5" t="inlineStr">
        <is>
          <t>Avg Est. CPC High ($)</t>
        </is>
      </c>
      <c r="H1" s="5" t="inlineStr">
        <is>
          <t>Budget Share (campaign)</t>
        </is>
      </c>
      <c r="I1" s="5" t="inlineStr">
        <is>
          <t>Role</t>
        </is>
      </c>
    </row>
    <row r="2">
      <c r="A2" s="15" t="inlineStr">
        <is>
          <t>01 Brand – Appetize AI</t>
        </is>
      </c>
      <c r="B2" s="16" t="inlineStr">
        <is>
          <t>Brand – AI</t>
        </is>
      </c>
      <c r="C2" s="16">
        <f>COUNTIFS(Keywords!$B$2:$B$97,A2,Keywords!$C$2:$C$97,B2)</f>
        <v/>
      </c>
      <c r="D2" s="17">
        <f>SUMIFS(Keywords!$H$2:$H$97,Keywords!$B$2:$B$97,A2,Keywords!$C$2:$C$97,B2)</f>
        <v/>
      </c>
      <c r="E2" s="16">
        <f>ROUND(AVERAGEIFS(Keywords!$Q$2:$Q$97,Keywords!$B$2:$B$97,A2,Keywords!$C$2:$C$97,B2),0)</f>
        <v/>
      </c>
      <c r="F2" s="16">
        <f>COUNTIFS(Keywords!$B$2:$B$97,A2,Keywords!$C$2:$C$97,B2,Keywords!$R$2:$R$97,"Tier 1")</f>
        <v/>
      </c>
      <c r="G2" s="18">
        <f>AVERAGEIFS(Keywords!$P$2:$P$97,Keywords!$B$2:$B$97,A2,Keywords!$C$2:$C$97,B2)</f>
        <v/>
      </c>
      <c r="H2" s="19" t="n">
        <v>0.05</v>
      </c>
      <c r="I2" s="16" t="inlineStr">
        <is>
          <t>Protect brand + new 'Appetize AI' terms; sitelinks to /ai, CLI docs, MCP.</t>
        </is>
      </c>
    </row>
    <row r="3">
      <c r="A3" s="16" t="inlineStr">
        <is>
          <t>01 Brand – Appetize AI</t>
        </is>
      </c>
      <c r="B3" s="16" t="inlineStr">
        <is>
          <t>Brand – Core</t>
        </is>
      </c>
      <c r="C3" s="16">
        <f>COUNTIFS(Keywords!$B$2:$B$97,A3,Keywords!$C$2:$C$97,B3)</f>
        <v/>
      </c>
      <c r="D3" s="17">
        <f>SUMIFS(Keywords!$H$2:$H$97,Keywords!$B$2:$B$97,A3,Keywords!$C$2:$C$97,B3)</f>
        <v/>
      </c>
      <c r="E3" s="16">
        <f>ROUND(AVERAGEIFS(Keywords!$Q$2:$Q$97,Keywords!$B$2:$B$97,A3,Keywords!$C$2:$C$97,B3),0)</f>
        <v/>
      </c>
      <c r="F3" s="16">
        <f>COUNTIFS(Keywords!$B$2:$B$97,A3,Keywords!$C$2:$C$97,B3,Keywords!$R$2:$R$97,"Tier 1")</f>
        <v/>
      </c>
      <c r="G3" s="18">
        <f>AVERAGEIFS(Keywords!$P$2:$P$97,Keywords!$B$2:$B$97,A3,Keywords!$C$2:$C$97,B3)</f>
        <v/>
      </c>
      <c r="H3" s="16" t="n"/>
      <c r="I3" s="16" t="n"/>
    </row>
    <row r="4">
      <c r="A4" s="15" t="inlineStr">
        <is>
          <t>02 Agents × Mobile (MCP / CLI)</t>
        </is>
      </c>
      <c r="B4" s="16" t="inlineStr">
        <is>
          <t>Mobile MCP Server</t>
        </is>
      </c>
      <c r="C4" s="16">
        <f>COUNTIFS(Keywords!$B$2:$B$97,A4,Keywords!$C$2:$C$97,B4)</f>
        <v/>
      </c>
      <c r="D4" s="17">
        <f>SUMIFS(Keywords!$H$2:$H$97,Keywords!$B$2:$B$97,A4,Keywords!$C$2:$C$97,B4)</f>
        <v/>
      </c>
      <c r="E4" s="16">
        <f>ROUND(AVERAGEIFS(Keywords!$Q$2:$Q$97,Keywords!$B$2:$B$97,A4,Keywords!$C$2:$C$97,B4),0)</f>
        <v/>
      </c>
      <c r="F4" s="16">
        <f>COUNTIFS(Keywords!$B$2:$B$97,A4,Keywords!$C$2:$C$97,B4,Keywords!$R$2:$R$97,"Tier 1")</f>
        <v/>
      </c>
      <c r="G4" s="18">
        <f>AVERAGEIFS(Keywords!$P$2:$P$97,Keywords!$B$2:$B$97,A4,Keywords!$C$2:$C$97,B4)</f>
        <v/>
      </c>
      <c r="H4" s="19" t="n">
        <v>0.35</v>
      </c>
      <c r="I4" s="16" t="inlineStr">
        <is>
          <t>Core. Highest-intent 'agents + mobile' long tail. Launch first, bid aggressively for top of page.</t>
        </is>
      </c>
    </row>
    <row r="5">
      <c r="A5" s="16" t="inlineStr">
        <is>
          <t>02 Agents × Mobile (MCP / CLI)</t>
        </is>
      </c>
      <c r="B5" s="16" t="inlineStr">
        <is>
          <t>iOS Simulator MCP</t>
        </is>
      </c>
      <c r="C5" s="16">
        <f>COUNTIFS(Keywords!$B$2:$B$97,A5,Keywords!$C$2:$C$97,B5)</f>
        <v/>
      </c>
      <c r="D5" s="17">
        <f>SUMIFS(Keywords!$H$2:$H$97,Keywords!$B$2:$B$97,A5,Keywords!$C$2:$C$97,B5)</f>
        <v/>
      </c>
      <c r="E5" s="16">
        <f>ROUND(AVERAGEIFS(Keywords!$Q$2:$Q$97,Keywords!$B$2:$B$97,A5,Keywords!$C$2:$C$97,B5),0)</f>
        <v/>
      </c>
      <c r="F5" s="16">
        <f>COUNTIFS(Keywords!$B$2:$B$97,A5,Keywords!$C$2:$C$97,B5,Keywords!$R$2:$R$97,"Tier 1")</f>
        <v/>
      </c>
      <c r="G5" s="18">
        <f>AVERAGEIFS(Keywords!$P$2:$P$97,Keywords!$B$2:$B$97,A5,Keywords!$C$2:$C$97,B5)</f>
        <v/>
      </c>
      <c r="H5" s="16" t="n"/>
      <c r="I5" s="16" t="n"/>
    </row>
    <row r="6">
      <c r="A6" s="16" t="inlineStr">
        <is>
          <t>02 Agents × Mobile (MCP / CLI)</t>
        </is>
      </c>
      <c r="B6" s="16" t="inlineStr">
        <is>
          <t>Android Emulator MCP</t>
        </is>
      </c>
      <c r="C6" s="16">
        <f>COUNTIFS(Keywords!$B$2:$B$97,A6,Keywords!$C$2:$C$97,B6)</f>
        <v/>
      </c>
      <c r="D6" s="17">
        <f>SUMIFS(Keywords!$H$2:$H$97,Keywords!$B$2:$B$97,A6,Keywords!$C$2:$C$97,B6)</f>
        <v/>
      </c>
      <c r="E6" s="16">
        <f>ROUND(AVERAGEIFS(Keywords!$Q$2:$Q$97,Keywords!$B$2:$B$97,A6,Keywords!$C$2:$C$97,B6),0)</f>
        <v/>
      </c>
      <c r="F6" s="16">
        <f>COUNTIFS(Keywords!$B$2:$B$97,A6,Keywords!$C$2:$C$97,B6,Keywords!$R$2:$R$97,"Tier 1")</f>
        <v/>
      </c>
      <c r="G6" s="18">
        <f>AVERAGEIFS(Keywords!$P$2:$P$97,Keywords!$B$2:$B$97,A6,Keywords!$C$2:$C$97,B6)</f>
        <v/>
      </c>
      <c r="H6" s="16" t="n"/>
      <c r="I6" s="16" t="n"/>
    </row>
    <row r="7">
      <c r="A7" s="16" t="inlineStr">
        <is>
          <t>02 Agents × Mobile (MCP / CLI)</t>
        </is>
      </c>
      <c r="B7" s="16" t="inlineStr">
        <is>
          <t>Coding Agent + Mobile</t>
        </is>
      </c>
      <c r="C7" s="16">
        <f>COUNTIFS(Keywords!$B$2:$B$97,A7,Keywords!$C$2:$C$97,B7)</f>
        <v/>
      </c>
      <c r="D7" s="17">
        <f>SUMIFS(Keywords!$H$2:$H$97,Keywords!$B$2:$B$97,A7,Keywords!$C$2:$C$97,B7)</f>
        <v/>
      </c>
      <c r="E7" s="16">
        <f>ROUND(AVERAGEIFS(Keywords!$Q$2:$Q$97,Keywords!$B$2:$B$97,A7,Keywords!$C$2:$C$97,B7),0)</f>
        <v/>
      </c>
      <c r="F7" s="16">
        <f>COUNTIFS(Keywords!$B$2:$B$97,A7,Keywords!$C$2:$C$97,B7,Keywords!$R$2:$R$97,"Tier 1")</f>
        <v/>
      </c>
      <c r="G7" s="18">
        <f>AVERAGEIFS(Keywords!$P$2:$P$97,Keywords!$B$2:$B$97,A7,Keywords!$C$2:$C$97,B7)</f>
        <v/>
      </c>
      <c r="H7" s="16" t="n"/>
      <c r="I7" s="16" t="n"/>
    </row>
    <row r="8">
      <c r="A8" s="16" t="inlineStr">
        <is>
          <t>02 Agents × Mobile (MCP / CLI)</t>
        </is>
      </c>
      <c r="B8" s="16" t="inlineStr">
        <is>
          <t>Agent Sandbox / Infra</t>
        </is>
      </c>
      <c r="C8" s="16">
        <f>COUNTIFS(Keywords!$B$2:$B$97,A8,Keywords!$C$2:$C$97,B8)</f>
        <v/>
      </c>
      <c r="D8" s="17">
        <f>SUMIFS(Keywords!$H$2:$H$97,Keywords!$B$2:$B$97,A8,Keywords!$C$2:$C$97,B8)</f>
        <v/>
      </c>
      <c r="E8" s="16">
        <f>ROUND(AVERAGEIFS(Keywords!$Q$2:$Q$97,Keywords!$B$2:$B$97,A8,Keywords!$C$2:$C$97,B8),0)</f>
        <v/>
      </c>
      <c r="F8" s="16">
        <f>COUNTIFS(Keywords!$B$2:$B$97,A8,Keywords!$C$2:$C$97,B8,Keywords!$R$2:$R$97,"Tier 1")</f>
        <v/>
      </c>
      <c r="G8" s="18">
        <f>AVERAGEIFS(Keywords!$P$2:$P$97,Keywords!$B$2:$B$97,A8,Keywords!$C$2:$C$97,B8)</f>
        <v/>
      </c>
      <c r="H8" s="16" t="n"/>
      <c r="I8" s="16" t="n"/>
    </row>
    <row r="9">
      <c r="A9" s="15" t="inlineStr">
        <is>
          <t>03 Cloud Simulators for Dev &amp; CI</t>
        </is>
      </c>
      <c r="B9" s="16" t="inlineStr">
        <is>
          <t>Cloud iOS Simulator</t>
        </is>
      </c>
      <c r="C9" s="16">
        <f>COUNTIFS(Keywords!$B$2:$B$97,A9,Keywords!$C$2:$C$97,B9)</f>
        <v/>
      </c>
      <c r="D9" s="17">
        <f>SUMIFS(Keywords!$H$2:$H$97,Keywords!$B$2:$B$97,A9,Keywords!$C$2:$C$97,B9)</f>
        <v/>
      </c>
      <c r="E9" s="16">
        <f>ROUND(AVERAGEIFS(Keywords!$Q$2:$Q$97,Keywords!$B$2:$B$97,A9,Keywords!$C$2:$C$97,B9),0)</f>
        <v/>
      </c>
      <c r="F9" s="16">
        <f>COUNTIFS(Keywords!$B$2:$B$97,A9,Keywords!$C$2:$C$97,B9,Keywords!$R$2:$R$97,"Tier 1")</f>
        <v/>
      </c>
      <c r="G9" s="18">
        <f>AVERAGEIFS(Keywords!$P$2:$P$97,Keywords!$B$2:$B$97,A9,Keywords!$C$2:$C$97,B9)</f>
        <v/>
      </c>
      <c r="H9" s="19" t="n">
        <v>0.22</v>
      </c>
      <c r="I9" s="16" t="inlineStr">
        <is>
          <t>Harvest cloud simulator / CI / Linux demand from platform &amp; DevEx engineers.</t>
        </is>
      </c>
    </row>
    <row r="10">
      <c r="A10" s="16" t="inlineStr">
        <is>
          <t>03 Cloud Simulators for Dev &amp; CI</t>
        </is>
      </c>
      <c r="B10" s="16" t="inlineStr">
        <is>
          <t>Cloud Android Emulator</t>
        </is>
      </c>
      <c r="C10" s="16">
        <f>COUNTIFS(Keywords!$B$2:$B$97,A10,Keywords!$C$2:$C$97,B10)</f>
        <v/>
      </c>
      <c r="D10" s="17">
        <f>SUMIFS(Keywords!$H$2:$H$97,Keywords!$B$2:$B$97,A10,Keywords!$C$2:$C$97,B10)</f>
        <v/>
      </c>
      <c r="E10" s="16">
        <f>ROUND(AVERAGEIFS(Keywords!$Q$2:$Q$97,Keywords!$B$2:$B$97,A10,Keywords!$C$2:$C$97,B10),0)</f>
        <v/>
      </c>
      <c r="F10" s="16">
        <f>COUNTIFS(Keywords!$B$2:$B$97,A10,Keywords!$C$2:$C$97,B10,Keywords!$R$2:$R$97,"Tier 1")</f>
        <v/>
      </c>
      <c r="G10" s="18">
        <f>AVERAGEIFS(Keywords!$P$2:$P$97,Keywords!$B$2:$B$97,A10,Keywords!$C$2:$C$97,B10)</f>
        <v/>
      </c>
      <c r="H10" s="16" t="n"/>
      <c r="I10" s="16" t="n"/>
    </row>
    <row r="11">
      <c r="A11" s="16" t="inlineStr">
        <is>
          <t>03 Cloud Simulators for Dev &amp; CI</t>
        </is>
      </c>
      <c r="B11" s="16" t="inlineStr">
        <is>
          <t>Simulators in CI/CD</t>
        </is>
      </c>
      <c r="C11" s="16">
        <f>COUNTIFS(Keywords!$B$2:$B$97,A11,Keywords!$C$2:$C$97,B11)</f>
        <v/>
      </c>
      <c r="D11" s="17">
        <f>SUMIFS(Keywords!$H$2:$H$97,Keywords!$B$2:$B$97,A11,Keywords!$C$2:$C$97,B11)</f>
        <v/>
      </c>
      <c r="E11" s="16">
        <f>ROUND(AVERAGEIFS(Keywords!$Q$2:$Q$97,Keywords!$B$2:$B$97,A11,Keywords!$C$2:$C$97,B11),0)</f>
        <v/>
      </c>
      <c r="F11" s="16">
        <f>COUNTIFS(Keywords!$B$2:$B$97,A11,Keywords!$C$2:$C$97,B11,Keywords!$R$2:$R$97,"Tier 1")</f>
        <v/>
      </c>
      <c r="G11" s="18">
        <f>AVERAGEIFS(Keywords!$P$2:$P$97,Keywords!$B$2:$B$97,A11,Keywords!$C$2:$C$97,B11)</f>
        <v/>
      </c>
      <c r="H11" s="16" t="n"/>
      <c r="I11" s="16" t="n"/>
    </row>
    <row r="12">
      <c r="A12" s="16" t="inlineStr">
        <is>
          <t>03 Cloud Simulators for Dev &amp; CI</t>
        </is>
      </c>
      <c r="B12" s="16" t="inlineStr">
        <is>
          <t>Headless / Docker</t>
        </is>
      </c>
      <c r="C12" s="16">
        <f>COUNTIFS(Keywords!$B$2:$B$97,A12,Keywords!$C$2:$C$97,B12)</f>
        <v/>
      </c>
      <c r="D12" s="17">
        <f>SUMIFS(Keywords!$H$2:$H$97,Keywords!$B$2:$B$97,A12,Keywords!$C$2:$C$97,B12)</f>
        <v/>
      </c>
      <c r="E12" s="16">
        <f>ROUND(AVERAGEIFS(Keywords!$Q$2:$Q$97,Keywords!$B$2:$B$97,A12,Keywords!$C$2:$C$97,B12),0)</f>
        <v/>
      </c>
      <c r="F12" s="16">
        <f>COUNTIFS(Keywords!$B$2:$B$97,A12,Keywords!$C$2:$C$97,B12,Keywords!$R$2:$R$97,"Tier 1")</f>
        <v/>
      </c>
      <c r="G12" s="18">
        <f>AVERAGEIFS(Keywords!$P$2:$P$97,Keywords!$B$2:$B$97,A12,Keywords!$C$2:$C$97,B12)</f>
        <v/>
      </c>
      <c r="H12" s="16" t="n"/>
      <c r="I12" s="16" t="n"/>
    </row>
    <row r="13">
      <c r="A13" s="16" t="inlineStr">
        <is>
          <t>03 Cloud Simulators for Dev &amp; CI</t>
        </is>
      </c>
      <c r="B13" s="16" t="inlineStr">
        <is>
          <t>iOS Dev Without a Mac</t>
        </is>
      </c>
      <c r="C13" s="16">
        <f>COUNTIFS(Keywords!$B$2:$B$97,A13,Keywords!$C$2:$C$97,B13)</f>
        <v/>
      </c>
      <c r="D13" s="17">
        <f>SUMIFS(Keywords!$H$2:$H$97,Keywords!$B$2:$B$97,A13,Keywords!$C$2:$C$97,B13)</f>
        <v/>
      </c>
      <c r="E13" s="16">
        <f>ROUND(AVERAGEIFS(Keywords!$Q$2:$Q$97,Keywords!$B$2:$B$97,A13,Keywords!$C$2:$C$97,B13),0)</f>
        <v/>
      </c>
      <c r="F13" s="16">
        <f>COUNTIFS(Keywords!$B$2:$B$97,A13,Keywords!$C$2:$C$97,B13,Keywords!$R$2:$R$97,"Tier 1")</f>
        <v/>
      </c>
      <c r="G13" s="18">
        <f>AVERAGEIFS(Keywords!$P$2:$P$97,Keywords!$B$2:$B$97,A13,Keywords!$C$2:$C$97,B13)</f>
        <v/>
      </c>
      <c r="H13" s="16" t="n"/>
      <c r="I13" s="16" t="n"/>
    </row>
    <row r="14">
      <c r="A14" s="15" t="inlineStr">
        <is>
          <t>04 AI &amp; Agentic Mobile Testing</t>
        </is>
      </c>
      <c r="B14" s="16" t="inlineStr">
        <is>
          <t>AI Mobile Testing</t>
        </is>
      </c>
      <c r="C14" s="16">
        <f>COUNTIFS(Keywords!$B$2:$B$97,A14,Keywords!$C$2:$C$97,B14)</f>
        <v/>
      </c>
      <c r="D14" s="17">
        <f>SUMIFS(Keywords!$H$2:$H$97,Keywords!$B$2:$B$97,A14,Keywords!$C$2:$C$97,B14)</f>
        <v/>
      </c>
      <c r="E14" s="16">
        <f>ROUND(AVERAGEIFS(Keywords!$Q$2:$Q$97,Keywords!$B$2:$B$97,A14,Keywords!$C$2:$C$97,B14),0)</f>
        <v/>
      </c>
      <c r="F14" s="16">
        <f>COUNTIFS(Keywords!$B$2:$B$97,A14,Keywords!$C$2:$C$97,B14,Keywords!$R$2:$R$97,"Tier 1")</f>
        <v/>
      </c>
      <c r="G14" s="18">
        <f>AVERAGEIFS(Keywords!$P$2:$P$97,Keywords!$B$2:$B$97,A14,Keywords!$C$2:$C$97,B14)</f>
        <v/>
      </c>
      <c r="H14" s="19" t="n">
        <v>0.18</v>
      </c>
      <c r="I14" s="16" t="inlineStr">
        <is>
          <t>Reach QA leaders evaluating AI testing; crowded &amp; expensive – manage CPA.</t>
        </is>
      </c>
    </row>
    <row r="15">
      <c r="A15" s="16" t="inlineStr">
        <is>
          <t>04 AI &amp; Agentic Mobile Testing</t>
        </is>
      </c>
      <c r="B15" s="16" t="inlineStr">
        <is>
          <t>Agentic QA</t>
        </is>
      </c>
      <c r="C15" s="16">
        <f>COUNTIFS(Keywords!$B$2:$B$97,A15,Keywords!$C$2:$C$97,B15)</f>
        <v/>
      </c>
      <c r="D15" s="17">
        <f>SUMIFS(Keywords!$H$2:$H$97,Keywords!$B$2:$B$97,A15,Keywords!$C$2:$C$97,B15)</f>
        <v/>
      </c>
      <c r="E15" s="16">
        <f>ROUND(AVERAGEIFS(Keywords!$Q$2:$Q$97,Keywords!$B$2:$B$97,A15,Keywords!$C$2:$C$97,B15),0)</f>
        <v/>
      </c>
      <c r="F15" s="16">
        <f>COUNTIFS(Keywords!$B$2:$B$97,A15,Keywords!$C$2:$C$97,B15,Keywords!$R$2:$R$97,"Tier 1")</f>
        <v/>
      </c>
      <c r="G15" s="18">
        <f>AVERAGEIFS(Keywords!$P$2:$P$97,Keywords!$B$2:$B$97,A15,Keywords!$C$2:$C$97,B15)</f>
        <v/>
      </c>
      <c r="H15" s="16" t="n"/>
      <c r="I15" s="16" t="n"/>
    </row>
    <row r="16">
      <c r="A16" s="16" t="inlineStr">
        <is>
          <t>04 AI &amp; Agentic Mobile Testing</t>
        </is>
      </c>
      <c r="B16" s="16" t="inlineStr">
        <is>
          <t>Verify AI-Written Code</t>
        </is>
      </c>
      <c r="C16" s="16">
        <f>COUNTIFS(Keywords!$B$2:$B$97,A16,Keywords!$C$2:$C$97,B16)</f>
        <v/>
      </c>
      <c r="D16" s="17">
        <f>SUMIFS(Keywords!$H$2:$H$97,Keywords!$B$2:$B$97,A16,Keywords!$C$2:$C$97,B16)</f>
        <v/>
      </c>
      <c r="E16" s="16">
        <f>ROUND(AVERAGEIFS(Keywords!$Q$2:$Q$97,Keywords!$B$2:$B$97,A16,Keywords!$C$2:$C$97,B16),0)</f>
        <v/>
      </c>
      <c r="F16" s="16">
        <f>COUNTIFS(Keywords!$B$2:$B$97,A16,Keywords!$C$2:$C$97,B16,Keywords!$R$2:$R$97,"Tier 1")</f>
        <v/>
      </c>
      <c r="G16" s="18">
        <f>AVERAGEIFS(Keywords!$P$2:$P$97,Keywords!$B$2:$B$97,A16,Keywords!$C$2:$C$97,B16)</f>
        <v/>
      </c>
      <c r="H16" s="16" t="n"/>
      <c r="I16" s="16" t="n"/>
    </row>
    <row r="17">
      <c r="A17" s="15" t="inlineStr">
        <is>
          <t>05 Competitor Conquest</t>
        </is>
      </c>
      <c r="B17" s="16" t="inlineStr">
        <is>
          <t>Limrun</t>
        </is>
      </c>
      <c r="C17" s="16">
        <f>COUNTIFS(Keywords!$B$2:$B$97,A17,Keywords!$C$2:$C$97,B17)</f>
        <v/>
      </c>
      <c r="D17" s="17">
        <f>SUMIFS(Keywords!$H$2:$H$97,Keywords!$B$2:$B$97,A17,Keywords!$C$2:$C$97,B17)</f>
        <v/>
      </c>
      <c r="E17" s="16">
        <f>ROUND(AVERAGEIFS(Keywords!$Q$2:$Q$97,Keywords!$B$2:$B$97,A17,Keywords!$C$2:$C$97,B17),0)</f>
        <v/>
      </c>
      <c r="F17" s="16">
        <f>COUNTIFS(Keywords!$B$2:$B$97,A17,Keywords!$C$2:$C$97,B17,Keywords!$R$2:$R$97,"Tier 1")</f>
        <v/>
      </c>
      <c r="G17" s="18">
        <f>AVERAGEIFS(Keywords!$P$2:$P$97,Keywords!$B$2:$B$97,A17,Keywords!$C$2:$C$97,B17)</f>
        <v/>
      </c>
      <c r="H17" s="19" t="n">
        <v>0.15</v>
      </c>
      <c r="I17" s="16" t="inlineStr">
        <is>
          <t>Conquest Limrun, Expo EAS Simulator and incumbent device clouds; no trademarks in copy.</t>
        </is>
      </c>
    </row>
    <row r="18">
      <c r="A18" s="16" t="inlineStr">
        <is>
          <t>05 Competitor Conquest</t>
        </is>
      </c>
      <c r="B18" s="16" t="inlineStr">
        <is>
          <t>Expo EAS Simulator</t>
        </is>
      </c>
      <c r="C18" s="16">
        <f>COUNTIFS(Keywords!$B$2:$B$97,A18,Keywords!$C$2:$C$97,B18)</f>
        <v/>
      </c>
      <c r="D18" s="17">
        <f>SUMIFS(Keywords!$H$2:$H$97,Keywords!$B$2:$B$97,A18,Keywords!$C$2:$C$97,B18)</f>
        <v/>
      </c>
      <c r="E18" s="16">
        <f>ROUND(AVERAGEIFS(Keywords!$Q$2:$Q$97,Keywords!$B$2:$B$97,A18,Keywords!$C$2:$C$97,B18),0)</f>
        <v/>
      </c>
      <c r="F18" s="16">
        <f>COUNTIFS(Keywords!$B$2:$B$97,A18,Keywords!$C$2:$C$97,B18,Keywords!$R$2:$R$97,"Tier 1")</f>
        <v/>
      </c>
      <c r="G18" s="18">
        <f>AVERAGEIFS(Keywords!$P$2:$P$97,Keywords!$B$2:$B$97,A18,Keywords!$C$2:$C$97,B18)</f>
        <v/>
      </c>
      <c r="H18" s="16" t="n"/>
      <c r="I18" s="16" t="n"/>
    </row>
    <row r="19">
      <c r="A19" s="16" t="inlineStr">
        <is>
          <t>05 Competitor Conquest</t>
        </is>
      </c>
      <c r="B19" s="16" t="inlineStr">
        <is>
          <t>Device Clouds</t>
        </is>
      </c>
      <c r="C19" s="16">
        <f>COUNTIFS(Keywords!$B$2:$B$97,A19,Keywords!$C$2:$C$97,B19)</f>
        <v/>
      </c>
      <c r="D19" s="17">
        <f>SUMIFS(Keywords!$H$2:$H$97,Keywords!$B$2:$B$97,A19,Keywords!$C$2:$C$97,B19)</f>
        <v/>
      </c>
      <c r="E19" s="16">
        <f>ROUND(AVERAGEIFS(Keywords!$Q$2:$Q$97,Keywords!$B$2:$B$97,A19,Keywords!$C$2:$C$97,B19),0)</f>
        <v/>
      </c>
      <c r="F19" s="16">
        <f>COUNTIFS(Keywords!$B$2:$B$97,A19,Keywords!$C$2:$C$97,B19,Keywords!$R$2:$R$97,"Tier 1")</f>
        <v/>
      </c>
      <c r="G19" s="18">
        <f>AVERAGEIFS(Keywords!$P$2:$P$97,Keywords!$B$2:$B$97,A19,Keywords!$C$2:$C$97,B19)</f>
        <v/>
      </c>
      <c r="H19" s="16" t="n"/>
      <c r="I19" s="16" t="n"/>
    </row>
    <row r="20">
      <c r="A20" s="16" t="inlineStr">
        <is>
          <t>05 Competitor Conquest</t>
        </is>
      </c>
      <c r="B20" s="16" t="inlineStr">
        <is>
          <t>Remote Xcode</t>
        </is>
      </c>
      <c r="C20" s="16">
        <f>COUNTIFS(Keywords!$B$2:$B$97,A20,Keywords!$C$2:$C$97,B20)</f>
        <v/>
      </c>
      <c r="D20" s="17">
        <f>SUMIFS(Keywords!$H$2:$H$97,Keywords!$B$2:$B$97,A20,Keywords!$C$2:$C$97,B20)</f>
        <v/>
      </c>
      <c r="E20" s="16">
        <f>ROUND(AVERAGEIFS(Keywords!$Q$2:$Q$97,Keywords!$B$2:$B$97,A20,Keywords!$C$2:$C$97,B20),0)</f>
        <v/>
      </c>
      <c r="F20" s="16">
        <f>COUNTIFS(Keywords!$B$2:$B$97,A20,Keywords!$C$2:$C$97,B20,Keywords!$R$2:$R$97,"Tier 1")</f>
        <v/>
      </c>
      <c r="G20" s="18">
        <f>AVERAGEIFS(Keywords!$P$2:$P$97,Keywords!$B$2:$B$97,A20,Keywords!$C$2:$C$97,B20)</f>
        <v/>
      </c>
      <c r="H20" s="16" t="n"/>
      <c r="I20" s="16" t="n"/>
    </row>
    <row r="21">
      <c r="A21" s="15" t="inlineStr">
        <is>
          <t>06 PR Preview &amp; Build Review</t>
        </is>
      </c>
      <c r="B21" s="16" t="inlineStr">
        <is>
          <t>PR Preview</t>
        </is>
      </c>
      <c r="C21" s="16">
        <f>COUNTIFS(Keywords!$B$2:$B$97,A21,Keywords!$C$2:$C$97,B21)</f>
        <v/>
      </c>
      <c r="D21" s="17">
        <f>SUMIFS(Keywords!$H$2:$H$97,Keywords!$B$2:$B$97,A21,Keywords!$C$2:$C$97,B21)</f>
        <v/>
      </c>
      <c r="E21" s="16">
        <f>ROUND(AVERAGEIFS(Keywords!$Q$2:$Q$97,Keywords!$B$2:$B$97,A21,Keywords!$C$2:$C$97,B21),0)</f>
        <v/>
      </c>
      <c r="F21" s="16">
        <f>COUNTIFS(Keywords!$B$2:$B$97,A21,Keywords!$C$2:$C$97,B21,Keywords!$R$2:$R$97,"Tier 1")</f>
        <v/>
      </c>
      <c r="G21" s="18">
        <f>AVERAGEIFS(Keywords!$P$2:$P$97,Keywords!$B$2:$B$97,A21,Keywords!$C$2:$C$97,B21)</f>
        <v/>
      </c>
      <c r="H21" s="19" t="n">
        <v>0.05</v>
      </c>
      <c r="I21" s="16" t="inlineStr">
        <is>
          <t>Secondary: PR preview/review use case for managers, design, PM.</t>
        </is>
      </c>
    </row>
    <row r="23">
      <c r="A23" s="12" t="inlineStr">
        <is>
          <t>TOTAL</t>
        </is>
      </c>
      <c r="C23" s="12">
        <f>SUM(C2:C21)</f>
        <v/>
      </c>
      <c r="D23" s="13">
        <f>SUM(D2:D21)</f>
        <v/>
      </c>
      <c r="F23" s="12">
        <f>SUM(F2:F21)</f>
        <v/>
      </c>
      <c r="H23" s="20">
        <f>SUM(H2:H21)</f>
        <v/>
      </c>
    </row>
    <row r="25">
      <c r="A25" s="12" t="inlineStr">
        <is>
          <t>Monthly search budget ($)</t>
        </is>
      </c>
      <c r="B25" s="21" t="n">
        <v>10000</v>
      </c>
      <c r="C25" s="14" t="inlineStr">
        <is>
          <t>← placeholder; set your budget</t>
        </is>
      </c>
    </row>
    <row r="26">
      <c r="A26" s="12" t="inlineStr">
        <is>
          <t>Campaign</t>
        </is>
      </c>
      <c r="B26" s="12" t="inlineStr">
        <is>
          <t>Monthly $</t>
        </is>
      </c>
      <c r="C26" s="12" t="inlineStr">
        <is>
          <t>Daily $</t>
        </is>
      </c>
    </row>
    <row r="27">
      <c r="A27" s="22" t="inlineStr">
        <is>
          <t>01 Brand – Appetize AI</t>
        </is>
      </c>
      <c r="B27" s="23">
        <f>$B$25*H2</f>
        <v/>
      </c>
      <c r="C27" s="23">
        <f>B27/30.4</f>
        <v/>
      </c>
    </row>
    <row r="28">
      <c r="A28" s="22" t="inlineStr">
        <is>
          <t>02 Agents × Mobile (MCP / CLI)</t>
        </is>
      </c>
      <c r="B28" s="23">
        <f>$B$25*H4</f>
        <v/>
      </c>
      <c r="C28" s="23">
        <f>B28/30.4</f>
        <v/>
      </c>
    </row>
    <row r="29">
      <c r="A29" s="22" t="inlineStr">
        <is>
          <t>03 Cloud Simulators for Dev &amp; CI</t>
        </is>
      </c>
      <c r="B29" s="23">
        <f>$B$25*H9</f>
        <v/>
      </c>
      <c r="C29" s="23">
        <f>B29/30.4</f>
        <v/>
      </c>
    </row>
    <row r="30">
      <c r="A30" s="22" t="inlineStr">
        <is>
          <t>04 AI &amp; Agentic Mobile Testing</t>
        </is>
      </c>
      <c r="B30" s="23">
        <f>$B$25*H14</f>
        <v/>
      </c>
      <c r="C30" s="23">
        <f>B30/30.4</f>
        <v/>
      </c>
    </row>
    <row r="31">
      <c r="A31" s="22" t="inlineStr">
        <is>
          <t>05 Competitor Conquest</t>
        </is>
      </c>
      <c r="B31" s="23">
        <f>$B$25*H17</f>
        <v/>
      </c>
      <c r="C31" s="23">
        <f>B31/30.4</f>
        <v/>
      </c>
    </row>
    <row r="32">
      <c r="A32" s="22" t="inlineStr">
        <is>
          <t>06 PR Preview &amp; Build Review</t>
        </is>
      </c>
      <c r="B32" s="23">
        <f>$B$25*H21</f>
        <v/>
      </c>
      <c r="C32" s="23">
        <f>B32/30.4</f>
        <v/>
      </c>
    </row>
    <row r="34">
      <c r="A34" s="24" t="inlineStr">
        <is>
          <t>Plus: Demand Gen (Custom Segments) – recommend an additional 20–30% of search budget for awareness; see Audience Segments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</cols>
  <sheetData>
    <row r="1">
      <c r="A1" s="5" t="inlineStr">
        <is>
          <t>Input</t>
        </is>
      </c>
      <c r="B1" s="5" t="inlineStr">
        <is>
          <t>Value</t>
        </is>
      </c>
      <c r="C1" s="5" t="inlineStr">
        <is>
          <t>Notes</t>
        </is>
      </c>
    </row>
    <row r="2">
      <c r="A2" s="22" t="inlineStr">
        <is>
          <t>Relevance weight (max pts)</t>
        </is>
      </c>
      <c r="B2" s="25" t="n">
        <v>60</v>
      </c>
      <c r="C2" s="22" t="inlineStr">
        <is>
          <t>Relevance 1–5 scaled to this many points</t>
        </is>
      </c>
    </row>
    <row r="3">
      <c r="A3" s="22" t="inlineStr">
        <is>
          <t>Volume weight (max pts)</t>
        </is>
      </c>
      <c r="B3" s="25" t="n">
        <v>25</v>
      </c>
      <c r="C3" s="22" t="inlineStr">
        <is>
          <t>log10 scale; full points at the volume cap below</t>
        </is>
      </c>
    </row>
    <row r="4">
      <c r="A4" s="22" t="inlineStr">
        <is>
          <t>Volume cap (searches/mo)</t>
        </is>
      </c>
      <c r="B4" s="25" t="n">
        <v>5000</v>
      </c>
      <c r="C4" s="22" t="inlineStr">
        <is>
          <t>Volume at which volume points max out</t>
        </is>
      </c>
    </row>
    <row r="5">
      <c r="A5" s="22" t="inlineStr">
        <is>
          <t>Intent pts – Commercial / Navigational</t>
        </is>
      </c>
      <c r="B5" s="25" t="n">
        <v>15</v>
      </c>
      <c r="C5" s="22" t="inlineStr"/>
    </row>
    <row r="6">
      <c r="A6" s="22" t="inlineStr">
        <is>
          <t>Intent pts – Solution-aware</t>
        </is>
      </c>
      <c r="B6" s="25" t="n">
        <v>10</v>
      </c>
      <c r="C6" s="22" t="inlineStr"/>
    </row>
    <row r="7">
      <c r="A7" s="22" t="inlineStr">
        <is>
          <t>Intent pts – Informational</t>
        </is>
      </c>
      <c r="B7" s="25" t="n">
        <v>5</v>
      </c>
      <c r="C7" s="22" t="inlineStr"/>
    </row>
    <row r="8">
      <c r="A8" s="22" t="inlineStr">
        <is>
          <t>Tier 1 threshold</t>
        </is>
      </c>
      <c r="B8" s="25" t="n">
        <v>85</v>
      </c>
      <c r="C8" s="22" t="inlineStr">
        <is>
          <t>Score ≥ this → Tier 1 (launch day 1, Phrase+Exact)</t>
        </is>
      </c>
    </row>
    <row r="9">
      <c r="A9" s="22" t="inlineStr">
        <is>
          <t>Tier 2 threshold</t>
        </is>
      </c>
      <c r="B9" s="25" t="n">
        <v>72</v>
      </c>
      <c r="C9" s="22" t="inlineStr">
        <is>
          <t>Score ≥ this → Tier 2 (Phrase); below → Tier 3 (Exact, low bid)</t>
        </is>
      </c>
    </row>
    <row r="11">
      <c r="A11" s="24" t="inlineStr">
        <is>
          <t>Formula: Score = RelW×(Relevance/5) + VolW×MIN(1, LOG10(Vol+1)/LOG10(Cap+1)) + IntentPts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6" customWidth="1" min="3" max="3"/>
    <col width="60" customWidth="1" min="4" max="4"/>
  </cols>
  <sheetData>
    <row r="1">
      <c r="A1" s="5" t="inlineStr">
        <is>
          <t>Negative Keyword</t>
        </is>
      </c>
      <c r="B1" s="5" t="inlineStr">
        <is>
          <t>Match Type</t>
        </is>
      </c>
      <c r="C1" s="5" t="inlineStr">
        <is>
          <t>List</t>
        </is>
      </c>
      <c r="D1" s="5" t="inlineStr">
        <is>
          <t>Reason</t>
        </is>
      </c>
    </row>
    <row r="2">
      <c r="A2" s="22" t="inlineStr">
        <is>
          <t>games</t>
        </is>
      </c>
      <c r="B2" s="22" t="inlineStr">
        <is>
          <t>Phrase</t>
        </is>
      </c>
      <c r="C2" s="22" t="inlineStr">
        <is>
          <t>Gaming / consumer emulators</t>
        </is>
      </c>
      <c r="D2" s="22" t="inlineStr">
        <is>
          <t>Consumer / gaming emulator intent – dominant in 'emulator online' queries</t>
        </is>
      </c>
    </row>
    <row r="3">
      <c r="A3" s="22" t="inlineStr">
        <is>
          <t>gaming</t>
        </is>
      </c>
      <c r="B3" s="22" t="inlineStr">
        <is>
          <t>Phrase</t>
        </is>
      </c>
      <c r="C3" s="22" t="inlineStr">
        <is>
          <t>Gaming / consumer emulators</t>
        </is>
      </c>
      <c r="D3" s="22" t="inlineStr">
        <is>
          <t>Consumer / gaming emulator intent – dominant in 'emulator online' queries</t>
        </is>
      </c>
    </row>
    <row r="4">
      <c r="A4" s="22" t="inlineStr">
        <is>
          <t>game</t>
        </is>
      </c>
      <c r="B4" s="22" t="inlineStr">
        <is>
          <t>Phrase</t>
        </is>
      </c>
      <c r="C4" s="22" t="inlineStr">
        <is>
          <t>Gaming / consumer emulators</t>
        </is>
      </c>
      <c r="D4" s="22" t="inlineStr">
        <is>
          <t>Consumer / gaming emulator intent – dominant in 'emulator online' queries</t>
        </is>
      </c>
    </row>
    <row r="5">
      <c r="A5" s="22" t="inlineStr">
        <is>
          <t>bluestacks</t>
        </is>
      </c>
      <c r="B5" s="22" t="inlineStr">
        <is>
          <t>Phrase</t>
        </is>
      </c>
      <c r="C5" s="22" t="inlineStr">
        <is>
          <t>Gaming / consumer emulators</t>
        </is>
      </c>
      <c r="D5" s="22" t="inlineStr">
        <is>
          <t>Consumer / gaming emulator intent – dominant in 'emulator online' queries</t>
        </is>
      </c>
    </row>
    <row r="6">
      <c r="A6" s="22" t="inlineStr">
        <is>
          <t>ldplayer</t>
        </is>
      </c>
      <c r="B6" s="22" t="inlineStr">
        <is>
          <t>Phrase</t>
        </is>
      </c>
      <c r="C6" s="22" t="inlineStr">
        <is>
          <t>Gaming / consumer emulators</t>
        </is>
      </c>
      <c r="D6" s="22" t="inlineStr">
        <is>
          <t>Consumer / gaming emulator intent – dominant in 'emulator online' queries</t>
        </is>
      </c>
    </row>
    <row r="7">
      <c r="A7" s="22" t="inlineStr">
        <is>
          <t>noxplayer</t>
        </is>
      </c>
      <c r="B7" s="22" t="inlineStr">
        <is>
          <t>Phrase</t>
        </is>
      </c>
      <c r="C7" s="22" t="inlineStr">
        <is>
          <t>Gaming / consumer emulators</t>
        </is>
      </c>
      <c r="D7" s="22" t="inlineStr">
        <is>
          <t>Consumer / gaming emulator intent – dominant in 'emulator online' queries</t>
        </is>
      </c>
    </row>
    <row r="8">
      <c r="A8" s="22" t="inlineStr">
        <is>
          <t>memu</t>
        </is>
      </c>
      <c r="B8" s="22" t="inlineStr">
        <is>
          <t>Phrase</t>
        </is>
      </c>
      <c r="C8" s="22" t="inlineStr">
        <is>
          <t>Gaming / consumer emulators</t>
        </is>
      </c>
      <c r="D8" s="22" t="inlineStr">
        <is>
          <t>Consumer / gaming emulator intent – dominant in 'emulator online' queries</t>
        </is>
      </c>
    </row>
    <row r="9">
      <c r="A9" s="22" t="inlineStr">
        <is>
          <t>roblox</t>
        </is>
      </c>
      <c r="B9" s="22" t="inlineStr">
        <is>
          <t>Phrase</t>
        </is>
      </c>
      <c r="C9" s="22" t="inlineStr">
        <is>
          <t>Gaming / consumer emulators</t>
        </is>
      </c>
      <c r="D9" s="22" t="inlineStr">
        <is>
          <t>Consumer / gaming emulator intent – dominant in 'emulator online' queries</t>
        </is>
      </c>
    </row>
    <row r="10">
      <c r="A10" s="22" t="inlineStr">
        <is>
          <t>pokemon</t>
        </is>
      </c>
      <c r="B10" s="22" t="inlineStr">
        <is>
          <t>Phrase</t>
        </is>
      </c>
      <c r="C10" s="22" t="inlineStr">
        <is>
          <t>Gaming / consumer emulators</t>
        </is>
      </c>
      <c r="D10" s="22" t="inlineStr">
        <is>
          <t>Consumer / gaming emulator intent – dominant in 'emulator online' queries</t>
        </is>
      </c>
    </row>
    <row r="11">
      <c r="A11" s="22" t="inlineStr">
        <is>
          <t>free fire</t>
        </is>
      </c>
      <c r="B11" s="22" t="inlineStr">
        <is>
          <t>Phrase</t>
        </is>
      </c>
      <c r="C11" s="22" t="inlineStr">
        <is>
          <t>Gaming / consumer emulators</t>
        </is>
      </c>
      <c r="D11" s="22" t="inlineStr">
        <is>
          <t>Consumer / gaming emulator intent – dominant in 'emulator online' queries</t>
        </is>
      </c>
    </row>
    <row r="12">
      <c r="A12" s="22" t="inlineStr">
        <is>
          <t>pubg</t>
        </is>
      </c>
      <c r="B12" s="22" t="inlineStr">
        <is>
          <t>Phrase</t>
        </is>
      </c>
      <c r="C12" s="22" t="inlineStr">
        <is>
          <t>Gaming / consumer emulators</t>
        </is>
      </c>
      <c r="D12" s="22" t="inlineStr">
        <is>
          <t>Consumer / gaming emulator intent – dominant in 'emulator online' queries</t>
        </is>
      </c>
    </row>
    <row r="13">
      <c r="A13" s="22" t="inlineStr">
        <is>
          <t>gta</t>
        </is>
      </c>
      <c r="B13" s="22" t="inlineStr">
        <is>
          <t>Phrase</t>
        </is>
      </c>
      <c r="C13" s="22" t="inlineStr">
        <is>
          <t>Gaming / consumer emulators</t>
        </is>
      </c>
      <c r="D13" s="22" t="inlineStr">
        <is>
          <t>Consumer / gaming emulator intent – dominant in 'emulator online' queries</t>
        </is>
      </c>
    </row>
    <row r="14">
      <c r="A14" s="22" t="inlineStr">
        <is>
          <t>minecraft</t>
        </is>
      </c>
      <c r="B14" s="22" t="inlineStr">
        <is>
          <t>Phrase</t>
        </is>
      </c>
      <c r="C14" s="22" t="inlineStr">
        <is>
          <t>Gaming / consumer emulators</t>
        </is>
      </c>
      <c r="D14" s="22" t="inlineStr">
        <is>
          <t>Consumer / gaming emulator intent – dominant in 'emulator online' queries</t>
        </is>
      </c>
    </row>
    <row r="15">
      <c r="A15" s="22" t="inlineStr">
        <is>
          <t>gba</t>
        </is>
      </c>
      <c r="B15" s="22" t="inlineStr">
        <is>
          <t>Phrase</t>
        </is>
      </c>
      <c r="C15" s="22" t="inlineStr">
        <is>
          <t>Gaming / consumer emulators</t>
        </is>
      </c>
      <c r="D15" s="22" t="inlineStr">
        <is>
          <t>Consumer / gaming emulator intent – dominant in 'emulator online' queries</t>
        </is>
      </c>
    </row>
    <row r="16">
      <c r="A16" s="22" t="inlineStr">
        <is>
          <t>ps2</t>
        </is>
      </c>
      <c r="B16" s="22" t="inlineStr">
        <is>
          <t>Phrase</t>
        </is>
      </c>
      <c r="C16" s="22" t="inlineStr">
        <is>
          <t>Gaming / consumer emulators</t>
        </is>
      </c>
      <c r="D16" s="22" t="inlineStr">
        <is>
          <t>Consumer / gaming emulator intent – dominant in 'emulator online' queries</t>
        </is>
      </c>
    </row>
    <row r="17">
      <c r="A17" s="22" t="inlineStr">
        <is>
          <t>nintendo</t>
        </is>
      </c>
      <c r="B17" s="22" t="inlineStr">
        <is>
          <t>Phrase</t>
        </is>
      </c>
      <c r="C17" s="22" t="inlineStr">
        <is>
          <t>Gaming / consumer emulators</t>
        </is>
      </c>
      <c r="D17" s="22" t="inlineStr">
        <is>
          <t>Consumer / gaming emulator intent – dominant in 'emulator online' queries</t>
        </is>
      </c>
    </row>
    <row r="18">
      <c r="A18" s="22" t="inlineStr">
        <is>
          <t>delta emulator</t>
        </is>
      </c>
      <c r="B18" s="22" t="inlineStr">
        <is>
          <t>Phrase</t>
        </is>
      </c>
      <c r="C18" s="22" t="inlineStr">
        <is>
          <t>Gaming / consumer emulators</t>
        </is>
      </c>
      <c r="D18" s="22" t="inlineStr">
        <is>
          <t>Consumer / gaming emulator intent – dominant in 'emulator online' queries</t>
        </is>
      </c>
    </row>
    <row r="19">
      <c r="A19" s="22" t="inlineStr">
        <is>
          <t>retroarch</t>
        </is>
      </c>
      <c r="B19" s="22" t="inlineStr">
        <is>
          <t>Phrase</t>
        </is>
      </c>
      <c r="C19" s="22" t="inlineStr">
        <is>
          <t>Gaming / consumer emulators</t>
        </is>
      </c>
      <c r="D19" s="22" t="inlineStr">
        <is>
          <t>Consumer / gaming emulator intent – dominant in 'emulator online' queries</t>
        </is>
      </c>
    </row>
    <row r="20">
      <c r="A20" s="22" t="inlineStr">
        <is>
          <t>for pc</t>
        </is>
      </c>
      <c r="B20" s="22" t="inlineStr">
        <is>
          <t>Phrase</t>
        </is>
      </c>
      <c r="C20" s="22" t="inlineStr">
        <is>
          <t>Gaming / consumer emulators</t>
        </is>
      </c>
      <c r="D20" s="22" t="inlineStr">
        <is>
          <t>Consumer / gaming emulator intent – dominant in 'emulator online' queries</t>
        </is>
      </c>
    </row>
    <row r="21">
      <c r="A21" s="22" t="inlineStr">
        <is>
          <t>for windows 10</t>
        </is>
      </c>
      <c r="B21" s="22" t="inlineStr">
        <is>
          <t>Phrase</t>
        </is>
      </c>
      <c r="C21" s="22" t="inlineStr">
        <is>
          <t>Gaming / consumer emulators</t>
        </is>
      </c>
      <c r="D21" s="22" t="inlineStr">
        <is>
          <t>Consumer / gaming emulator intent – dominant in 'emulator online' queries</t>
        </is>
      </c>
    </row>
    <row r="22">
      <c r="A22" s="22" t="inlineStr">
        <is>
          <t>for windows 11</t>
        </is>
      </c>
      <c r="B22" s="22" t="inlineStr">
        <is>
          <t>Phrase</t>
        </is>
      </c>
      <c r="C22" s="22" t="inlineStr">
        <is>
          <t>Gaming / consumer emulators</t>
        </is>
      </c>
      <c r="D22" s="22" t="inlineStr">
        <is>
          <t>Consumer / gaming emulator intent – dominant in 'emulator online' queries</t>
        </is>
      </c>
    </row>
    <row r="23">
      <c r="A23" s="22" t="inlineStr">
        <is>
          <t>chromebook</t>
        </is>
      </c>
      <c r="B23" s="22" t="inlineStr">
        <is>
          <t>Phrase</t>
        </is>
      </c>
      <c r="C23" s="22" t="inlineStr">
        <is>
          <t>Gaming / consumer emulators</t>
        </is>
      </c>
      <c r="D23" s="22" t="inlineStr">
        <is>
          <t>Consumer / gaming emulator intent – dominant in 'emulator online' queries</t>
        </is>
      </c>
    </row>
    <row r="24">
      <c r="A24" s="22" t="inlineStr">
        <is>
          <t>apk</t>
        </is>
      </c>
      <c r="B24" s="22" t="inlineStr">
        <is>
          <t>Phrase</t>
        </is>
      </c>
      <c r="C24" s="22" t="inlineStr">
        <is>
          <t>Gaming / consumer emulators</t>
        </is>
      </c>
      <c r="D24" s="22" t="inlineStr">
        <is>
          <t>Consumer / gaming emulator intent – dominant in 'emulator online' queries</t>
        </is>
      </c>
    </row>
    <row r="25">
      <c r="A25" s="22" t="inlineStr">
        <is>
          <t>download</t>
        </is>
      </c>
      <c r="B25" s="22" t="inlineStr">
        <is>
          <t>Phrase</t>
        </is>
      </c>
      <c r="C25" s="22" t="inlineStr">
        <is>
          <t>Gaming / consumer emulators</t>
        </is>
      </c>
      <c r="D25" s="22" t="inlineStr">
        <is>
          <t>Consumer / gaming emulator intent – dominant in 'emulator online' queries</t>
        </is>
      </c>
    </row>
    <row r="26">
      <c r="A26" s="22" t="inlineStr">
        <is>
          <t>mod</t>
        </is>
      </c>
      <c r="B26" s="22" t="inlineStr">
        <is>
          <t>Phrase</t>
        </is>
      </c>
      <c r="C26" s="22" t="inlineStr">
        <is>
          <t>Gaming / consumer emulators</t>
        </is>
      </c>
      <c r="D26" s="22" t="inlineStr">
        <is>
          <t>Consumer / gaming emulator intent – dominant in 'emulator online' queries</t>
        </is>
      </c>
    </row>
    <row r="27">
      <c r="A27" s="22" t="inlineStr">
        <is>
          <t>hack</t>
        </is>
      </c>
      <c r="B27" s="22" t="inlineStr">
        <is>
          <t>Phrase</t>
        </is>
      </c>
      <c r="C27" s="22" t="inlineStr">
        <is>
          <t>Gaming / consumer emulators</t>
        </is>
      </c>
      <c r="D27" s="22" t="inlineStr">
        <is>
          <t>Consumer / gaming emulator intent – dominant in 'emulator online' queries</t>
        </is>
      </c>
    </row>
    <row r="28">
      <c r="A28" s="22" t="inlineStr">
        <is>
          <t>cheat</t>
        </is>
      </c>
      <c r="B28" s="22" t="inlineStr">
        <is>
          <t>Phrase</t>
        </is>
      </c>
      <c r="C28" s="22" t="inlineStr">
        <is>
          <t>Gaming / consumer emulators</t>
        </is>
      </c>
      <c r="D28" s="22" t="inlineStr">
        <is>
          <t>Consumer / gaming emulator intent – dominant in 'emulator online' queries</t>
        </is>
      </c>
    </row>
    <row r="29">
      <c r="A29" s="22" t="inlineStr">
        <is>
          <t>jailbreak</t>
        </is>
      </c>
      <c r="B29" s="22" t="inlineStr">
        <is>
          <t>Phrase</t>
        </is>
      </c>
      <c r="C29" s="22" t="inlineStr">
        <is>
          <t>Gaming / consumer emulators</t>
        </is>
      </c>
      <c r="D29" s="22" t="inlineStr">
        <is>
          <t>Consumer / gaming emulator intent – dominant in 'emulator online' queries</t>
        </is>
      </c>
    </row>
    <row r="30">
      <c r="A30" s="22" t="inlineStr">
        <is>
          <t>ipa library</t>
        </is>
      </c>
      <c r="B30" s="22" t="inlineStr">
        <is>
          <t>Phrase</t>
        </is>
      </c>
      <c r="C30" s="22" t="inlineStr">
        <is>
          <t>Gaming / consumer emulators</t>
        </is>
      </c>
      <c r="D30" s="22" t="inlineStr">
        <is>
          <t>Consumer / gaming emulator intent – dominant in 'emulator online' queries</t>
        </is>
      </c>
    </row>
    <row r="31">
      <c r="A31" s="22" t="inlineStr">
        <is>
          <t>iphone emulator for android</t>
        </is>
      </c>
      <c r="B31" s="22" t="inlineStr">
        <is>
          <t>Phrase</t>
        </is>
      </c>
      <c r="C31" s="22" t="inlineStr">
        <is>
          <t>Gaming / consumer emulators</t>
        </is>
      </c>
      <c r="D31" s="22" t="inlineStr">
        <is>
          <t>Consumer / gaming emulator intent – dominant in 'emulator online' queries</t>
        </is>
      </c>
    </row>
    <row r="32">
      <c r="A32" s="22" t="inlineStr">
        <is>
          <t>play ios games</t>
        </is>
      </c>
      <c r="B32" s="22" t="inlineStr">
        <is>
          <t>Phrase</t>
        </is>
      </c>
      <c r="C32" s="22" t="inlineStr">
        <is>
          <t>Gaming / consumer emulators</t>
        </is>
      </c>
      <c r="D32" s="22" t="inlineStr">
        <is>
          <t>Consumer / gaming emulator intent – dominant in 'emulator online' queries</t>
        </is>
      </c>
    </row>
    <row r="33">
      <c r="A33" s="22" t="inlineStr">
        <is>
          <t>minecraft coder pack</t>
        </is>
      </c>
      <c r="B33" s="22" t="inlineStr">
        <is>
          <t>Phrase</t>
        </is>
      </c>
      <c r="C33" s="22" t="inlineStr">
        <is>
          <t>MCP false positives</t>
        </is>
      </c>
      <c r="D33" s="22" t="inlineStr">
        <is>
          <t>MCP collides with Minecraft, Microsoft certs and anatomy</t>
        </is>
      </c>
    </row>
    <row r="34">
      <c r="A34" s="22" t="inlineStr">
        <is>
          <t>microsoft certified professional</t>
        </is>
      </c>
      <c r="B34" s="22" t="inlineStr">
        <is>
          <t>Phrase</t>
        </is>
      </c>
      <c r="C34" s="22" t="inlineStr">
        <is>
          <t>MCP false positives</t>
        </is>
      </c>
      <c r="D34" s="22" t="inlineStr">
        <is>
          <t>MCP collides with Minecraft, Microsoft certs and anatomy</t>
        </is>
      </c>
    </row>
    <row r="35">
      <c r="A35" s="22" t="inlineStr">
        <is>
          <t>microsoft mcp exam</t>
        </is>
      </c>
      <c r="B35" s="22" t="inlineStr">
        <is>
          <t>Phrase</t>
        </is>
      </c>
      <c r="C35" s="22" t="inlineStr">
        <is>
          <t>MCP false positives</t>
        </is>
      </c>
      <c r="D35" s="22" t="inlineStr">
        <is>
          <t>MCP collides with Minecraft, Microsoft certs and anatomy</t>
        </is>
      </c>
    </row>
    <row r="36">
      <c r="A36" s="22" t="inlineStr">
        <is>
          <t>mcp joint</t>
        </is>
      </c>
      <c r="B36" s="22" t="inlineStr">
        <is>
          <t>Phrase</t>
        </is>
      </c>
      <c r="C36" s="22" t="inlineStr">
        <is>
          <t>MCP false positives</t>
        </is>
      </c>
      <c r="D36" s="22" t="inlineStr">
        <is>
          <t>MCP collides with Minecraft, Microsoft certs and anatomy</t>
        </is>
      </c>
    </row>
    <row r="37">
      <c r="A37" s="22" t="inlineStr">
        <is>
          <t>mcp pain</t>
        </is>
      </c>
      <c r="B37" s="22" t="inlineStr">
        <is>
          <t>Phrase</t>
        </is>
      </c>
      <c r="C37" s="22" t="inlineStr">
        <is>
          <t>MCP false positives</t>
        </is>
      </c>
      <c r="D37" s="22" t="inlineStr">
        <is>
          <t>MCP collides with Minecraft, Microsoft certs and anatomy</t>
        </is>
      </c>
    </row>
    <row r="38">
      <c r="A38" s="22" t="inlineStr">
        <is>
          <t>metacarpophalangeal</t>
        </is>
      </c>
      <c r="B38" s="22" t="inlineStr">
        <is>
          <t>Phrase</t>
        </is>
      </c>
      <c r="C38" s="22" t="inlineStr">
        <is>
          <t>MCP false positives</t>
        </is>
      </c>
      <c r="D38" s="22" t="inlineStr">
        <is>
          <t>MCP collides with Minecraft, Microsoft certs and anatomy</t>
        </is>
      </c>
    </row>
    <row r="39">
      <c r="A39" s="22" t="inlineStr">
        <is>
          <t>mcp hospital</t>
        </is>
      </c>
      <c r="B39" s="22" t="inlineStr">
        <is>
          <t>Phrase</t>
        </is>
      </c>
      <c r="C39" s="22" t="inlineStr">
        <is>
          <t>MCP false positives</t>
        </is>
      </c>
      <c r="D39" s="22" t="inlineStr">
        <is>
          <t>MCP collides with Minecraft, Microsoft certs and anatomy</t>
        </is>
      </c>
    </row>
    <row r="40">
      <c r="A40" s="22" t="inlineStr">
        <is>
          <t>mcp full form</t>
        </is>
      </c>
      <c r="B40" s="22" t="inlineStr">
        <is>
          <t>Phrase</t>
        </is>
      </c>
      <c r="C40" s="22" t="inlineStr">
        <is>
          <t>MCP false positives</t>
        </is>
      </c>
      <c r="D40" s="22" t="inlineStr">
        <is>
          <t>MCP collides with Minecraft, Microsoft certs and anatomy</t>
        </is>
      </c>
    </row>
    <row r="41">
      <c r="A41" s="22" t="inlineStr">
        <is>
          <t>mcp meaning</t>
        </is>
      </c>
      <c r="B41" s="22" t="inlineStr">
        <is>
          <t>Phrase</t>
        </is>
      </c>
      <c r="C41" s="22" t="inlineStr">
        <is>
          <t>MCP false positives</t>
        </is>
      </c>
      <c r="D41" s="22" t="inlineStr">
        <is>
          <t>MCP collides with Minecraft, Microsoft certs and anatomy</t>
        </is>
      </c>
    </row>
    <row r="42">
      <c r="A42" s="22" t="inlineStr">
        <is>
          <t>jobs</t>
        </is>
      </c>
      <c r="B42" s="22" t="inlineStr">
        <is>
          <t>Phrase</t>
        </is>
      </c>
      <c r="C42" s="22" t="inlineStr">
        <is>
          <t>Jobs / education</t>
        </is>
      </c>
      <c r="D42" s="22" t="inlineStr">
        <is>
          <t>Not buyers</t>
        </is>
      </c>
    </row>
    <row r="43">
      <c r="A43" s="22" t="inlineStr">
        <is>
          <t>job</t>
        </is>
      </c>
      <c r="B43" s="22" t="inlineStr">
        <is>
          <t>Phrase</t>
        </is>
      </c>
      <c r="C43" s="22" t="inlineStr">
        <is>
          <t>Jobs / education</t>
        </is>
      </c>
      <c r="D43" s="22" t="inlineStr">
        <is>
          <t>Not buyers</t>
        </is>
      </c>
    </row>
    <row r="44">
      <c r="A44" s="22" t="inlineStr">
        <is>
          <t>salary</t>
        </is>
      </c>
      <c r="B44" s="22" t="inlineStr">
        <is>
          <t>Phrase</t>
        </is>
      </c>
      <c r="C44" s="22" t="inlineStr">
        <is>
          <t>Jobs / education</t>
        </is>
      </c>
      <c r="D44" s="22" t="inlineStr">
        <is>
          <t>Not buyers</t>
        </is>
      </c>
    </row>
    <row r="45">
      <c r="A45" s="22" t="inlineStr">
        <is>
          <t>hiring</t>
        </is>
      </c>
      <c r="B45" s="22" t="inlineStr">
        <is>
          <t>Phrase</t>
        </is>
      </c>
      <c r="C45" s="22" t="inlineStr">
        <is>
          <t>Jobs / education</t>
        </is>
      </c>
      <c r="D45" s="22" t="inlineStr">
        <is>
          <t>Not buyers</t>
        </is>
      </c>
    </row>
    <row r="46">
      <c r="A46" s="22" t="inlineStr">
        <is>
          <t>career</t>
        </is>
      </c>
      <c r="B46" s="22" t="inlineStr">
        <is>
          <t>Phrase</t>
        </is>
      </c>
      <c r="C46" s="22" t="inlineStr">
        <is>
          <t>Jobs / education</t>
        </is>
      </c>
      <c r="D46" s="22" t="inlineStr">
        <is>
          <t>Not buyers</t>
        </is>
      </c>
    </row>
    <row r="47">
      <c r="A47" s="22" t="inlineStr">
        <is>
          <t>course</t>
        </is>
      </c>
      <c r="B47" s="22" t="inlineStr">
        <is>
          <t>Phrase</t>
        </is>
      </c>
      <c r="C47" s="22" t="inlineStr">
        <is>
          <t>Jobs / education</t>
        </is>
      </c>
      <c r="D47" s="22" t="inlineStr">
        <is>
          <t>Not buyers</t>
        </is>
      </c>
    </row>
    <row r="48">
      <c r="A48" s="22" t="inlineStr">
        <is>
          <t>certification</t>
        </is>
      </c>
      <c r="B48" s="22" t="inlineStr">
        <is>
          <t>Phrase</t>
        </is>
      </c>
      <c r="C48" s="22" t="inlineStr">
        <is>
          <t>Jobs / education</t>
        </is>
      </c>
      <c r="D48" s="22" t="inlineStr">
        <is>
          <t>Not buyers</t>
        </is>
      </c>
    </row>
    <row r="49">
      <c r="A49" s="22" t="inlineStr">
        <is>
          <t>interview questions</t>
        </is>
      </c>
      <c r="B49" s="22" t="inlineStr">
        <is>
          <t>Phrase</t>
        </is>
      </c>
      <c r="C49" s="22" t="inlineStr">
        <is>
          <t>Jobs / education</t>
        </is>
      </c>
      <c r="D49" s="22" t="inlineStr">
        <is>
          <t>Not buyers</t>
        </is>
      </c>
    </row>
    <row r="50">
      <c r="A50" s="22" t="inlineStr">
        <is>
          <t>tutorial pdf</t>
        </is>
      </c>
      <c r="B50" s="22" t="inlineStr">
        <is>
          <t>Phrase</t>
        </is>
      </c>
      <c r="C50" s="22" t="inlineStr">
        <is>
          <t>Jobs / education</t>
        </is>
      </c>
      <c r="D50" s="22" t="inlineStr">
        <is>
          <t>Not buyers</t>
        </is>
      </c>
    </row>
    <row r="51">
      <c r="A51" s="22" t="inlineStr">
        <is>
          <t>internship</t>
        </is>
      </c>
      <c r="B51" s="22" t="inlineStr">
        <is>
          <t>Phrase</t>
        </is>
      </c>
      <c r="C51" s="22" t="inlineStr">
        <is>
          <t>Jobs / education</t>
        </is>
      </c>
      <c r="D51" s="22" t="inlineStr">
        <is>
          <t>Not buyers</t>
        </is>
      </c>
    </row>
    <row r="52">
      <c r="A52" s="22" t="inlineStr">
        <is>
          <t>resume</t>
        </is>
      </c>
      <c r="B52" s="22" t="inlineStr">
        <is>
          <t>Phrase</t>
        </is>
      </c>
      <c r="C52" s="22" t="inlineStr">
        <is>
          <t>Jobs / education</t>
        </is>
      </c>
      <c r="D52" s="22" t="inlineStr">
        <is>
          <t>Not buyers</t>
        </is>
      </c>
    </row>
    <row r="53">
      <c r="A53" s="22" t="inlineStr">
        <is>
          <t>free online</t>
        </is>
      </c>
      <c r="B53" s="22" t="inlineStr">
        <is>
          <t>Phrase</t>
        </is>
      </c>
      <c r="C53" s="22" t="inlineStr">
        <is>
          <t>Free / DIY</t>
        </is>
      </c>
      <c r="D53" s="22" t="inlineStr">
        <is>
          <t>Apply to campaigns 03 &amp; 04 only – keep for 02 (OSS MCP users are a key audience)</t>
        </is>
      </c>
    </row>
    <row r="54">
      <c r="A54" s="22" t="inlineStr">
        <is>
          <t>free download</t>
        </is>
      </c>
      <c r="B54" s="22" t="inlineStr">
        <is>
          <t>Phrase</t>
        </is>
      </c>
      <c r="C54" s="22" t="inlineStr">
        <is>
          <t>Free / DIY</t>
        </is>
      </c>
      <c r="D54" s="22" t="inlineStr">
        <is>
          <t>Apply to campaigns 03 &amp; 04 only – keep for 02 (OSS MCP users are a key audience)</t>
        </is>
      </c>
    </row>
    <row r="55">
      <c r="A55" s="22" t="inlineStr">
        <is>
          <t>open source</t>
        </is>
      </c>
      <c r="B55" s="22" t="inlineStr">
        <is>
          <t>Phrase</t>
        </is>
      </c>
      <c r="C55" s="22" t="inlineStr">
        <is>
          <t>Free / DIY</t>
        </is>
      </c>
      <c r="D55" s="22" t="inlineStr">
        <is>
          <t>Apply to campaigns 03 &amp; 04 only – keep for 02 (OSS MCP users are a key audience)</t>
        </is>
      </c>
    </row>
    <row r="56">
      <c r="A56" s="22" t="inlineStr">
        <is>
          <t>github</t>
        </is>
      </c>
      <c r="B56" s="22" t="inlineStr">
        <is>
          <t>Phrase</t>
        </is>
      </c>
      <c r="C56" s="22" t="inlineStr">
        <is>
          <t>Free / DIY</t>
        </is>
      </c>
      <c r="D56" s="22" t="inlineStr">
        <is>
          <t>Apply to campaigns 03 &amp; 04 only – keep for 02 (OSS MCP users are a key audience)</t>
        </is>
      </c>
    </row>
    <row r="57">
      <c r="A57" s="22" t="inlineStr">
        <is>
          <t>appetizer</t>
        </is>
      </c>
      <c r="B57" s="22" t="inlineStr">
        <is>
          <t>Phrase</t>
        </is>
      </c>
      <c r="C57" s="22" t="inlineStr">
        <is>
          <t>Unrelated 'appetize'</t>
        </is>
      </c>
      <c r="D57" s="22" t="inlineStr">
        <is>
          <t>Brand collision with food</t>
        </is>
      </c>
    </row>
    <row r="58">
      <c r="A58" s="22" t="inlineStr">
        <is>
          <t>appetizers</t>
        </is>
      </c>
      <c r="B58" s="22" t="inlineStr">
        <is>
          <t>Phrase</t>
        </is>
      </c>
      <c r="C58" s="22" t="inlineStr">
        <is>
          <t>Unrelated 'appetize'</t>
        </is>
      </c>
      <c r="D58" s="22" t="inlineStr">
        <is>
          <t>Brand collision with food</t>
        </is>
      </c>
    </row>
    <row r="59">
      <c r="A59" s="22" t="inlineStr">
        <is>
          <t>appetizing</t>
        </is>
      </c>
      <c r="B59" s="22" t="inlineStr">
        <is>
          <t>Phrase</t>
        </is>
      </c>
      <c r="C59" s="22" t="inlineStr">
        <is>
          <t>Unrelated 'appetize'</t>
        </is>
      </c>
      <c r="D59" s="22" t="inlineStr">
        <is>
          <t>Brand collision with food</t>
        </is>
      </c>
    </row>
    <row r="60">
      <c r="A60" s="22" t="inlineStr">
        <is>
          <t>recipe</t>
        </is>
      </c>
      <c r="B60" s="22" t="inlineStr">
        <is>
          <t>Phrase</t>
        </is>
      </c>
      <c r="C60" s="22" t="inlineStr">
        <is>
          <t>Unrelated 'appetize'</t>
        </is>
      </c>
      <c r="D60" s="22" t="inlineStr">
        <is>
          <t>Brand collision with food</t>
        </is>
      </c>
    </row>
    <row r="61">
      <c r="A61" s="22" t="inlineStr">
        <is>
          <t>restaurant</t>
        </is>
      </c>
      <c r="B61" s="22" t="inlineStr">
        <is>
          <t>Phrase</t>
        </is>
      </c>
      <c r="C61" s="22" t="inlineStr">
        <is>
          <t>Unrelated 'appetize'</t>
        </is>
      </c>
      <c r="D61" s="22" t="inlineStr">
        <is>
          <t>Brand collision with food</t>
        </is>
      </c>
    </row>
    <row r="62">
      <c r="A62" s="22" t="inlineStr">
        <is>
          <t>menu</t>
        </is>
      </c>
      <c r="B62" s="22" t="inlineStr">
        <is>
          <t>Phrase</t>
        </is>
      </c>
      <c r="C62" s="22" t="inlineStr">
        <is>
          <t>Unrelated 'appetize'</t>
        </is>
      </c>
      <c r="D62" s="22" t="inlineStr">
        <is>
          <t>Brand collision with food</t>
        </is>
      </c>
    </row>
    <row r="63">
      <c r="A63" s="22" t="inlineStr">
        <is>
          <t>iphone 17</t>
        </is>
      </c>
      <c r="B63" s="22" t="inlineStr">
        <is>
          <t>Phrase</t>
        </is>
      </c>
      <c r="C63" s="22" t="inlineStr">
        <is>
          <t>Consumer phones</t>
        </is>
      </c>
      <c r="D63" s="22" t="inlineStr">
        <is>
          <t>Device shoppers</t>
        </is>
      </c>
    </row>
    <row r="64">
      <c r="A64" s="22" t="inlineStr">
        <is>
          <t>buy iphone</t>
        </is>
      </c>
      <c r="B64" s="22" t="inlineStr">
        <is>
          <t>Phrase</t>
        </is>
      </c>
      <c r="C64" s="22" t="inlineStr">
        <is>
          <t>Consumer phones</t>
        </is>
      </c>
      <c r="D64" s="22" t="inlineStr">
        <is>
          <t>Device shoppers</t>
        </is>
      </c>
    </row>
    <row r="65">
      <c r="A65" s="22" t="inlineStr">
        <is>
          <t>iphone price</t>
        </is>
      </c>
      <c r="B65" s="22" t="inlineStr">
        <is>
          <t>Phrase</t>
        </is>
      </c>
      <c r="C65" s="22" t="inlineStr">
        <is>
          <t>Consumer phones</t>
        </is>
      </c>
      <c r="D65" s="22" t="inlineStr">
        <is>
          <t>Device shoppers</t>
        </is>
      </c>
    </row>
    <row r="66">
      <c r="A66" s="22" t="inlineStr">
        <is>
          <t>unlock iphone</t>
        </is>
      </c>
      <c r="B66" s="22" t="inlineStr">
        <is>
          <t>Phrase</t>
        </is>
      </c>
      <c r="C66" s="22" t="inlineStr">
        <is>
          <t>Consumer phones</t>
        </is>
      </c>
      <c r="D66" s="22" t="inlineStr">
        <is>
          <t>Device shoppers</t>
        </is>
      </c>
    </row>
    <row r="67">
      <c r="A67" s="22" t="inlineStr">
        <is>
          <t>android phone deals</t>
        </is>
      </c>
      <c r="B67" s="22" t="inlineStr">
        <is>
          <t>Phrase</t>
        </is>
      </c>
      <c r="C67" s="22" t="inlineStr">
        <is>
          <t>Consumer phones</t>
        </is>
      </c>
      <c r="D67" s="22" t="inlineStr">
        <is>
          <t>Device shoppers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70" customWidth="1" min="3" max="3"/>
    <col width="8" customWidth="1" min="4" max="4"/>
    <col width="8" customWidth="1" min="5" max="5"/>
    <col width="8" customWidth="1" min="6" max="6"/>
  </cols>
  <sheetData>
    <row r="1">
      <c r="A1" s="5" t="inlineStr">
        <is>
          <t>Campaign</t>
        </is>
      </c>
      <c r="B1" s="5" t="inlineStr">
        <is>
          <t>Asset Type</t>
        </is>
      </c>
      <c r="C1" s="5" t="inlineStr">
        <is>
          <t>Text</t>
        </is>
      </c>
      <c r="D1" s="5" t="inlineStr">
        <is>
          <t>Chars</t>
        </is>
      </c>
      <c r="E1" s="5" t="inlineStr">
        <is>
          <t>Limit</t>
        </is>
      </c>
      <c r="F1" s="5" t="inlineStr">
        <is>
          <t>OK?</t>
        </is>
      </c>
    </row>
    <row r="2">
      <c r="A2" s="22" t="inlineStr">
        <is>
          <t>02 Agents × Mobile (MCP / CLI)</t>
        </is>
      </c>
      <c r="B2" s="22" t="inlineStr">
        <is>
          <t>Headline</t>
        </is>
      </c>
      <c r="C2" s="22" t="inlineStr">
        <is>
          <t>The Mobile Layer for AI Agents</t>
        </is>
      </c>
      <c r="D2" s="22">
        <f>LEN(C2)</f>
        <v/>
      </c>
      <c r="E2" s="22" t="n">
        <v>30</v>
      </c>
      <c r="F2" s="22">
        <f>IF(D2&lt;=E2,"✓","TOO LONG")</f>
        <v/>
      </c>
    </row>
    <row r="3">
      <c r="A3" s="22" t="inlineStr">
        <is>
          <t>02 Agents × Mobile (MCP / CLI)</t>
        </is>
      </c>
      <c r="B3" s="22" t="inlineStr">
        <is>
          <t>Headline</t>
        </is>
      </c>
      <c r="C3" s="22" t="inlineStr">
        <is>
          <t>Give Your Agent a Real Phone</t>
        </is>
      </c>
      <c r="D3" s="22">
        <f>LEN(C3)</f>
        <v/>
      </c>
      <c r="E3" s="22" t="n">
        <v>30</v>
      </c>
      <c r="F3" s="22">
        <f>IF(D3&lt;=E3,"✓","TOO LONG")</f>
        <v/>
      </c>
    </row>
    <row r="4">
      <c r="A4" s="22" t="inlineStr">
        <is>
          <t>02 Agents × Mobile (MCP / CLI)</t>
        </is>
      </c>
      <c r="B4" s="22" t="inlineStr">
        <is>
          <t>Headline</t>
        </is>
      </c>
      <c r="C4" s="22" t="inlineStr">
        <is>
          <t>iOS &amp; Android MCP in the Cloud</t>
        </is>
      </c>
      <c r="D4" s="22">
        <f>LEN(C4)</f>
        <v/>
      </c>
      <c r="E4" s="22" t="n">
        <v>30</v>
      </c>
      <c r="F4" s="22">
        <f>IF(D4&lt;=E4,"✓","TOO LONG")</f>
        <v/>
      </c>
    </row>
    <row r="5">
      <c r="A5" s="22" t="inlineStr">
        <is>
          <t>02 Agents × Mobile (MCP / CLI)</t>
        </is>
      </c>
      <c r="B5" s="22" t="inlineStr">
        <is>
          <t>Headline</t>
        </is>
      </c>
      <c r="C5" s="22" t="inlineStr">
        <is>
          <t>Agents Run &amp; Test Mobile Apps</t>
        </is>
      </c>
      <c r="D5" s="22">
        <f>LEN(C5)</f>
        <v/>
      </c>
      <c r="E5" s="22" t="n">
        <v>30</v>
      </c>
      <c r="F5" s="22">
        <f>IF(D5&lt;=E5,"✓","TOO LONG")</f>
        <v/>
      </c>
    </row>
    <row r="6">
      <c r="A6" s="22" t="inlineStr">
        <is>
          <t>02 Agents × Mobile (MCP / CLI)</t>
        </is>
      </c>
      <c r="B6" s="22" t="inlineStr">
        <is>
          <t>Headline</t>
        </is>
      </c>
      <c r="C6" s="22" t="inlineStr">
        <is>
          <t>Mobile Sandbox for AI Agents</t>
        </is>
      </c>
      <c r="D6" s="22">
        <f>LEN(C6)</f>
        <v/>
      </c>
      <c r="E6" s="22" t="n">
        <v>30</v>
      </c>
      <c r="F6" s="22">
        <f>IF(D6&lt;=E6,"✓","TOO LONG")</f>
        <v/>
      </c>
    </row>
    <row r="7">
      <c r="A7" s="22" t="inlineStr">
        <is>
          <t>02 Agents × Mobile (MCP / CLI)</t>
        </is>
      </c>
      <c r="B7" s="22" t="inlineStr">
        <is>
          <t>Headline</t>
        </is>
      </c>
      <c r="C7" s="22" t="inlineStr">
        <is>
          <t>One CLI. iOS + Android.</t>
        </is>
      </c>
      <c r="D7" s="22">
        <f>LEN(C7)</f>
        <v/>
      </c>
      <c r="E7" s="22" t="n">
        <v>30</v>
      </c>
      <c r="F7" s="22">
        <f>IF(D7&lt;=E7,"✓","TOO LONG")</f>
        <v/>
      </c>
    </row>
    <row r="8">
      <c r="A8" s="22" t="inlineStr">
        <is>
          <t>02 Agents × Mobile (MCP / CLI)</t>
        </is>
      </c>
      <c r="B8" s="22" t="inlineStr">
        <is>
          <t>Headline</t>
        </is>
      </c>
      <c r="C8" s="22" t="inlineStr">
        <is>
          <t>Break the Phone Wall</t>
        </is>
      </c>
      <c r="D8" s="22">
        <f>LEN(C8)</f>
        <v/>
      </c>
      <c r="E8" s="22" t="n">
        <v>30</v>
      </c>
      <c r="F8" s="22">
        <f>IF(D8&lt;=E8,"✓","TOO LONG")</f>
        <v/>
      </c>
    </row>
    <row r="9">
      <c r="A9" s="22" t="inlineStr">
        <is>
          <t>02 Agents × Mobile (MCP / CLI)</t>
        </is>
      </c>
      <c r="B9" s="22" t="inlineStr">
        <is>
          <t>Headline</t>
        </is>
      </c>
      <c r="C9" s="22" t="inlineStr">
        <is>
          <t>No Mac? No Problem.</t>
        </is>
      </c>
      <c r="D9" s="22">
        <f>LEN(C9)</f>
        <v/>
      </c>
      <c r="E9" s="22" t="n">
        <v>30</v>
      </c>
      <c r="F9" s="22">
        <f>IF(D9&lt;=E9,"✓","TOO LONG")</f>
        <v/>
      </c>
    </row>
    <row r="10">
      <c r="A10" s="22" t="inlineStr">
        <is>
          <t>02 Agents × Mobile (MCP / CLI)</t>
        </is>
      </c>
      <c r="B10" s="22" t="inlineStr">
        <is>
          <t>Description</t>
        </is>
      </c>
      <c r="C10" s="22" t="inlineStr">
        <is>
          <t>Coding agents build, run &amp; verify iOS and Android apps in cloud sandboxes via CLI or MCP.</t>
        </is>
      </c>
      <c r="D10" s="22">
        <f>LEN(C10)</f>
        <v/>
      </c>
      <c r="E10" s="22" t="n">
        <v>90</v>
      </c>
      <c r="F10" s="22">
        <f>IF(D10&lt;=E10,"✓","TOO LONG")</f>
        <v/>
      </c>
    </row>
    <row r="11">
      <c r="A11" s="22" t="inlineStr">
        <is>
          <t>02 Agents × Mobile (MCP / CLI)</t>
        </is>
      </c>
      <c r="B11" s="22" t="inlineStr">
        <is>
          <t>Description</t>
        </is>
      </c>
      <c r="C11" s="22" t="inlineStr">
        <is>
          <t>Agents see the screen, tap, type and read logs &amp; network traffic in isolated sessions.</t>
        </is>
      </c>
      <c r="D11" s="22">
        <f>LEN(C11)</f>
        <v/>
      </c>
      <c r="E11" s="22" t="n">
        <v>90</v>
      </c>
      <c r="F11" s="22">
        <f>IF(D11&lt;=E11,"✓","TOO LONG")</f>
        <v/>
      </c>
    </row>
    <row r="12">
      <c r="A12" s="22" t="inlineStr">
        <is>
          <t>03 Cloud Simulators for Dev &amp; CI</t>
        </is>
      </c>
      <c r="B12" s="22" t="inlineStr">
        <is>
          <t>Headline</t>
        </is>
      </c>
      <c r="C12" s="22" t="inlineStr">
        <is>
          <t>Cloud iOS Simulators via API</t>
        </is>
      </c>
      <c r="D12" s="22">
        <f>LEN(C12)</f>
        <v/>
      </c>
      <c r="E12" s="22" t="n">
        <v>30</v>
      </c>
      <c r="F12" s="22">
        <f>IF(D12&lt;=E12,"✓","TOO LONG")</f>
        <v/>
      </c>
    </row>
    <row r="13">
      <c r="A13" s="22" t="inlineStr">
        <is>
          <t>03 Cloud Simulators for Dev &amp; CI</t>
        </is>
      </c>
      <c r="B13" s="22" t="inlineStr">
        <is>
          <t>Headline</t>
        </is>
      </c>
      <c r="C13" s="22" t="inlineStr">
        <is>
          <t>iOS Simulator on Linux &amp; CI</t>
        </is>
      </c>
      <c r="D13" s="22">
        <f>LEN(C13)</f>
        <v/>
      </c>
      <c r="E13" s="22" t="n">
        <v>30</v>
      </c>
      <c r="F13" s="22">
        <f>IF(D13&lt;=E13,"✓","TOO LONG")</f>
        <v/>
      </c>
    </row>
    <row r="14">
      <c r="A14" s="22" t="inlineStr">
        <is>
          <t>03 Cloud Simulators for Dev &amp; CI</t>
        </is>
      </c>
      <c r="B14" s="22" t="inlineStr">
        <is>
          <t>Headline</t>
        </is>
      </c>
      <c r="C14" s="22" t="inlineStr">
        <is>
          <t>Android Emulators On Demand</t>
        </is>
      </c>
      <c r="D14" s="22">
        <f>LEN(C14)</f>
        <v/>
      </c>
      <c r="E14" s="22" t="n">
        <v>30</v>
      </c>
      <c r="F14" s="22">
        <f>IF(D14&lt;=E14,"✓","TOO LONG")</f>
        <v/>
      </c>
    </row>
    <row r="15">
      <c r="A15" s="22" t="inlineStr">
        <is>
          <t>03 Cloud Simulators for Dev &amp; CI</t>
        </is>
      </c>
      <c r="B15" s="22" t="inlineStr">
        <is>
          <t>Headline</t>
        </is>
      </c>
      <c r="C15" s="22" t="inlineStr">
        <is>
          <t>Simulators in GitHub Actions</t>
        </is>
      </c>
      <c r="D15" s="22">
        <f>LEN(C15)</f>
        <v/>
      </c>
      <c r="E15" s="22" t="n">
        <v>30</v>
      </c>
      <c r="F15" s="22">
        <f>IF(D15&lt;=E15,"✓","TOO LONG")</f>
        <v/>
      </c>
    </row>
    <row r="16">
      <c r="A16" s="22" t="inlineStr">
        <is>
          <t>03 Cloud Simulators for Dev &amp; CI</t>
        </is>
      </c>
      <c r="B16" s="22" t="inlineStr">
        <is>
          <t>Description</t>
        </is>
      </c>
      <c r="C16" s="22" t="inlineStr">
        <is>
          <t>Stream iOS &amp; Android devices to any browser, container or CI job. No Macs or device labs.</t>
        </is>
      </c>
      <c r="D16" s="22">
        <f>LEN(C16)</f>
        <v/>
      </c>
      <c r="E16" s="22" t="n">
        <v>90</v>
      </c>
      <c r="F16" s="22">
        <f>IF(D16&lt;=E16,"✓","TOO LONG")</f>
        <v/>
      </c>
    </row>
    <row r="17">
      <c r="A17" s="22" t="inlineStr">
        <is>
          <t>04 AI &amp; Agentic Mobile Testing</t>
        </is>
      </c>
      <c r="B17" s="22" t="inlineStr">
        <is>
          <t>Headline</t>
        </is>
      </c>
      <c r="C17" s="22" t="inlineStr">
        <is>
          <t>Agentic Mobile Testing</t>
        </is>
      </c>
      <c r="D17" s="22">
        <f>LEN(C17)</f>
        <v/>
      </c>
      <c r="E17" s="22" t="n">
        <v>30</v>
      </c>
      <c r="F17" s="22">
        <f>IF(D17&lt;=E17,"✓","TOO LONG")</f>
        <v/>
      </c>
    </row>
    <row r="18">
      <c r="A18" s="22" t="inlineStr">
        <is>
          <t>04 AI &amp; Agentic Mobile Testing</t>
        </is>
      </c>
      <c r="B18" s="22" t="inlineStr">
        <is>
          <t>Headline</t>
        </is>
      </c>
      <c r="C18" s="22" t="inlineStr">
        <is>
          <t>Let AI Verify Its Own Work</t>
        </is>
      </c>
      <c r="D18" s="22">
        <f>LEN(C18)</f>
        <v/>
      </c>
      <c r="E18" s="22" t="n">
        <v>30</v>
      </c>
      <c r="F18" s="22">
        <f>IF(D18&lt;=E18,"✓","TOO LONG")</f>
        <v/>
      </c>
    </row>
    <row r="19">
      <c r="A19" s="22" t="inlineStr">
        <is>
          <t>04 AI &amp; Agentic Mobile Testing</t>
        </is>
      </c>
      <c r="B19" s="22" t="inlineStr">
        <is>
          <t>Headline</t>
        </is>
      </c>
      <c r="C19" s="22" t="inlineStr">
        <is>
          <t>AI QA on Real iOS &amp; Android</t>
        </is>
      </c>
      <c r="D19" s="22">
        <f>LEN(C19)</f>
        <v/>
      </c>
      <c r="E19" s="22" t="n">
        <v>30</v>
      </c>
      <c r="F19" s="22">
        <f>IF(D19&lt;=E19,"✓","TOO LONG")</f>
        <v/>
      </c>
    </row>
    <row r="20">
      <c r="A20" s="22" t="inlineStr">
        <is>
          <t>04 AI &amp; Agentic Mobile Testing</t>
        </is>
      </c>
      <c r="B20" s="22" t="inlineStr">
        <is>
          <t>Description</t>
        </is>
      </c>
      <c r="C20" s="22" t="inlineStr">
        <is>
          <t>Agents test every PR across devices, OS versions, languages and regions – with recordings.</t>
        </is>
      </c>
      <c r="D20" s="22">
        <f>LEN(C20)</f>
        <v/>
      </c>
      <c r="E20" s="22" t="n">
        <v>90</v>
      </c>
      <c r="F20" s="22">
        <f>IF(D20&lt;=E20,"✓","TOO LONG")</f>
        <v/>
      </c>
    </row>
    <row r="21">
      <c r="A21" s="22" t="inlineStr">
        <is>
          <t>05 Competitor Conquest</t>
        </is>
      </c>
      <c r="B21" s="22" t="inlineStr">
        <is>
          <t>Headline</t>
        </is>
      </c>
      <c r="C21" s="22" t="inlineStr">
        <is>
          <t>Available Now – No Waitlist</t>
        </is>
      </c>
      <c r="D21" s="22">
        <f>LEN(C21)</f>
        <v/>
      </c>
      <c r="E21" s="22" t="n">
        <v>30</v>
      </c>
      <c r="F21" s="22">
        <f>IF(D21&lt;=E21,"✓","TOO LONG")</f>
        <v/>
      </c>
    </row>
    <row r="22">
      <c r="A22" s="22" t="inlineStr">
        <is>
          <t>05 Competitor Conquest</t>
        </is>
      </c>
      <c r="B22" s="22" t="inlineStr">
        <is>
          <t>Headline</t>
        </is>
      </c>
      <c r="C22" s="22" t="inlineStr">
        <is>
          <t>Native iOS, Android &amp; RN</t>
        </is>
      </c>
      <c r="D22" s="22">
        <f>LEN(C22)</f>
        <v/>
      </c>
      <c r="E22" s="22" t="n">
        <v>30</v>
      </c>
      <c r="F22" s="22">
        <f>IF(D22&lt;=E22,"✓","TOO LONG")</f>
        <v/>
      </c>
    </row>
    <row r="23">
      <c r="A23" s="22" t="inlineStr">
        <is>
          <t>05 Competitor Conquest</t>
        </is>
      </c>
      <c r="B23" s="22" t="inlineStr">
        <is>
          <t>Headline</t>
        </is>
      </c>
      <c r="C23" s="22" t="inlineStr">
        <is>
          <t>Agent-Ready From Day One</t>
        </is>
      </c>
      <c r="D23" s="22">
        <f>LEN(C23)</f>
        <v/>
      </c>
      <c r="E23" s="22" t="n">
        <v>30</v>
      </c>
      <c r="F23" s="22">
        <f>IF(D23&lt;=E23,"✓","TOO LONG")</f>
        <v/>
      </c>
    </row>
    <row r="24">
      <c r="A24" s="22" t="inlineStr">
        <is>
          <t>05 Competitor Conquest</t>
        </is>
      </c>
      <c r="B24" s="22" t="inlineStr">
        <is>
          <t>Description</t>
        </is>
      </c>
      <c r="C24" s="22" t="inlineStr">
        <is>
          <t>Agent-ready cloud simulators with CLI, MCP, SSO &amp; audit logs. Start in minutes, not weeks.</t>
        </is>
      </c>
      <c r="D24" s="22">
        <f>LEN(C24)</f>
        <v/>
      </c>
      <c r="E24" s="22" t="n">
        <v>90</v>
      </c>
      <c r="F24" s="22">
        <f>IF(D24&lt;=E24,"✓","TOO LONG")</f>
        <v/>
      </c>
    </row>
    <row r="25">
      <c r="A25" s="22" t="inlineStr">
        <is>
          <t>06 PR Preview &amp; Build Review</t>
        </is>
      </c>
      <c r="B25" s="22" t="inlineStr">
        <is>
          <t>Headline</t>
        </is>
      </c>
      <c r="C25" s="22" t="inlineStr">
        <is>
          <t>Run the App From the PR</t>
        </is>
      </c>
      <c r="D25" s="22">
        <f>LEN(C25)</f>
        <v/>
      </c>
      <c r="E25" s="22" t="n">
        <v>30</v>
      </c>
      <c r="F25" s="22">
        <f>IF(D25&lt;=E25,"✓","TOO LONG")</f>
        <v/>
      </c>
    </row>
    <row r="26">
      <c r="A26" s="22" t="inlineStr">
        <is>
          <t>06 PR Preview &amp; Build Review</t>
        </is>
      </c>
      <c r="B26" s="22" t="inlineStr">
        <is>
          <t>Description</t>
        </is>
      </c>
      <c r="C26" s="22" t="inlineStr">
        <is>
          <t>Every pull request gets a live preview link &amp; recording. Review builds in your browser.</t>
        </is>
      </c>
      <c r="D26" s="22">
        <f>LEN(C26)</f>
        <v/>
      </c>
      <c r="E26" s="22" t="n">
        <v>90</v>
      </c>
      <c r="F26" s="22">
        <f>IF(D26&lt;=E26,"✓","TOO LONG")</f>
        <v/>
      </c>
    </row>
    <row r="27">
      <c r="A27" s="22" t="inlineStr">
        <is>
          <t>01 Brand – Appetize AI</t>
        </is>
      </c>
      <c r="B27" s="22" t="inlineStr">
        <is>
          <t>Headline</t>
        </is>
      </c>
      <c r="C27" s="22" t="inlineStr">
        <is>
          <t>Appetize AI – Official Site</t>
        </is>
      </c>
      <c r="D27" s="22">
        <f>LEN(C27)</f>
        <v/>
      </c>
      <c r="E27" s="22" t="n">
        <v>30</v>
      </c>
      <c r="F27" s="22">
        <f>IF(D27&lt;=E27,"✓","TOO LONG")</f>
        <v/>
      </c>
    </row>
    <row r="28">
      <c r="A28" s="22" t="inlineStr">
        <is>
          <t>01 Brand – Appetize AI</t>
        </is>
      </c>
      <c r="B28" s="22" t="inlineStr">
        <is>
          <t>Description</t>
        </is>
      </c>
      <c r="C28" s="22" t="inlineStr">
        <is>
          <t>Appetize AI: cloud iOS &amp; Android sandboxes for Claude Code, Cursor, Codex, Devin and CI.</t>
        </is>
      </c>
      <c r="D28" s="22">
        <f>LEN(C28)</f>
        <v/>
      </c>
      <c r="E28" s="22" t="n">
        <v>90</v>
      </c>
      <c r="F28" s="22">
        <f>IF(D28&lt;=E28,"✓","TOO LONG")</f>
        <v/>
      </c>
    </row>
    <row r="30">
      <c r="A30" s="14" t="inlineStr">
        <is>
          <t>Do not use competitor names in any asset.</t>
        </is>
      </c>
    </row>
  </sheetData>
  <conditionalFormatting sqref="F2:F28">
    <cfRule type="cellIs" priority="1" operator="equal" dxfId="3">
      <formula>"TOO LONG"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90" customWidth="1" min="3" max="3"/>
    <col width="40" customWidth="1" min="4" max="4"/>
  </cols>
  <sheetData>
    <row r="1">
      <c r="A1" s="5" t="inlineStr">
        <is>
          <t>Segment</t>
        </is>
      </c>
      <c r="B1" s="5" t="inlineStr">
        <is>
          <t>Type</t>
        </is>
      </c>
      <c r="C1" s="5" t="inlineStr">
        <is>
          <t>Seeds</t>
        </is>
      </c>
      <c r="D1" s="5" t="inlineStr">
        <is>
          <t>Use</t>
        </is>
      </c>
    </row>
    <row r="2">
      <c r="A2" s="2" t="inlineStr">
        <is>
          <t>Agent-mobile searchers</t>
        </is>
      </c>
      <c r="B2" s="2" t="inlineStr">
        <is>
          <t>Custom segment – search terms</t>
        </is>
      </c>
      <c r="C2" s="2" t="inlineStr">
        <is>
          <t>ios simulator mcp; mobile mcp; xcode mcp; xcodebuildmcp; claude code ios; cursor ios development; appium mcp; android emulator mcp</t>
        </is>
      </c>
      <c r="D2" s="2" t="inlineStr">
        <is>
          <t>Demand Gen + YouTube awareness</t>
        </is>
      </c>
    </row>
    <row r="3">
      <c r="A3" s="2" t="inlineStr">
        <is>
          <t>Competitor site visitors</t>
        </is>
      </c>
      <c r="B3" s="2" t="inlineStr">
        <is>
          <t>Custom segment – websites</t>
        </is>
      </c>
      <c r="C3" s="2" t="inlineStr">
        <is>
          <t>limrun.com; expo.dev/services/simulators; browserstack.com; saucelabs.com; lambdatest.com; genymotion.com; xcodebuildmcp.com; callstack.com</t>
        </is>
      </c>
      <c r="D3" s="2" t="inlineStr">
        <is>
          <t>Demand Gen; exclude existing customers</t>
        </is>
      </c>
    </row>
    <row r="4">
      <c r="A4" s="2" t="inlineStr">
        <is>
          <t>OSS MCP / agent devs</t>
        </is>
      </c>
      <c r="B4" s="2" t="inlineStr">
        <is>
          <t>Custom segment – websites</t>
        </is>
      </c>
      <c r="C4" s="2" t="inlineStr">
        <is>
          <t>github.com/mobile-next/mobile-mcp; github.com/joshuayoes/ios-simulator-mcp; github.com/callstack/agent-device; glama.ai; mcpservers.org; claudemarketplaces.com</t>
        </is>
      </c>
      <c r="D4" s="2" t="inlineStr">
        <is>
          <t>Demand Gen (URL signals are directional)</t>
        </is>
      </c>
    </row>
    <row r="5">
      <c r="A5" s="2" t="inlineStr">
        <is>
          <t>Coding agent users</t>
        </is>
      </c>
      <c r="B5" s="2" t="inlineStr">
        <is>
          <t>Custom segment – apps/sites</t>
        </is>
      </c>
      <c r="C5" s="2" t="inlineStr">
        <is>
          <t>claude.ai; cursor.com; openai.com/codex; devin.ai; github.com/features/copilot</t>
        </is>
      </c>
      <c r="D5" s="2" t="inlineStr">
        <is>
          <t>Layer with mobile interest to avoid waste</t>
        </is>
      </c>
    </row>
    <row r="6">
      <c r="A6" s="2" t="inlineStr">
        <is>
          <t>Mobile dev interest</t>
        </is>
      </c>
      <c r="B6" s="2" t="inlineStr">
        <is>
          <t>Custom segment – search terms</t>
        </is>
      </c>
      <c r="C6" s="2" t="inlineStr">
        <is>
          <t>react native; swiftui; jetpack compose; expo eas; fastlane; bitrise; xcode 26</t>
        </is>
      </c>
      <c r="D6" s="2" t="inlineStr">
        <is>
          <t>Layer / observation</t>
        </is>
      </c>
    </row>
    <row r="7">
      <c r="A7" s="2" t="inlineStr">
        <is>
          <t>Site remarketing</t>
        </is>
      </c>
      <c r="B7" s="2" t="inlineStr">
        <is>
          <t>Your data</t>
        </is>
      </c>
      <c r="C7" s="2" t="inlineStr">
        <is>
          <t>Visitors to appetize.io/ai who didn't sign up; docs/CLI visitors</t>
        </is>
      </c>
      <c r="D7" s="2" t="inlineStr">
        <is>
          <t>Retarget with CLI quickstart / demo 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2026-09-23T15:30:21Z</dcterms:created>
  <dcterms:modified xsi:type="dcterms:W3CDTF">2026-09-23T15:30:21Z</dcterms:modified>
</cp:coreProperties>
</file>